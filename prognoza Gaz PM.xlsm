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pmachal\Desktop\N-1 gaz\"/>
    </mc:Choice>
  </mc:AlternateContent>
  <bookViews>
    <workbookView xWindow="0" yWindow="0" windowWidth="28800" windowHeight="11535" activeTab="1"/>
  </bookViews>
  <sheets>
    <sheet name="Analiza - 1" sheetId="1" r:id="rId1"/>
    <sheet name="Wykresy - 2" sheetId="2" r:id="rId2"/>
    <sheet name="Transponuj i wykres -6 " sheetId="4" state="hidden" r:id="rId3"/>
    <sheet name="Delta 2 dni - 9" sheetId="3" r:id="rId4"/>
    <sheet name="podobne" sheetId="6" state="hidden" r:id="rId5"/>
  </sheets>
  <definedNames>
    <definedName name="_xlnm.Print_Area" localSheetId="3">'Delta 2 dni - 9'!$A$1:$Y$58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2" i="1" l="1"/>
  <c r="Q23" i="1"/>
  <c r="Q24" i="1"/>
  <c r="Q25" i="1"/>
  <c r="Q26" i="1"/>
  <c r="Q27" i="1"/>
  <c r="Q17" i="1"/>
  <c r="Q16" i="1"/>
  <c r="Q15" i="1"/>
  <c r="Q14" i="1"/>
  <c r="Q13" i="1"/>
  <c r="Q21" i="1"/>
  <c r="Q12" i="1"/>
  <c r="Q11" i="1"/>
  <c r="C58" i="3" l="1"/>
  <c r="D58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8" i="3" l="1"/>
  <c r="AB12" i="4" l="1"/>
  <c r="V58" i="3" l="1"/>
  <c r="U58" i="3"/>
  <c r="P58" i="3"/>
  <c r="O58" i="3"/>
  <c r="J58" i="3"/>
  <c r="I58" i="3"/>
  <c r="S56" i="3"/>
  <c r="Y56" i="3" s="1"/>
  <c r="M56" i="3"/>
  <c r="S55" i="3"/>
  <c r="Y55" i="3" s="1"/>
  <c r="M55" i="3"/>
  <c r="S54" i="3"/>
  <c r="Y54" i="3" s="1"/>
  <c r="M54" i="3"/>
  <c r="S53" i="3"/>
  <c r="Y53" i="3" s="1"/>
  <c r="M53" i="3"/>
  <c r="S52" i="3"/>
  <c r="Y52" i="3" s="1"/>
  <c r="M52" i="3"/>
  <c r="S51" i="3"/>
  <c r="Y51" i="3" s="1"/>
  <c r="M51" i="3"/>
  <c r="S50" i="3"/>
  <c r="Y50" i="3" s="1"/>
  <c r="M50" i="3"/>
  <c r="S49" i="3"/>
  <c r="Y49" i="3" s="1"/>
  <c r="M49" i="3"/>
  <c r="S48" i="3"/>
  <c r="Y48" i="3" s="1"/>
  <c r="M48" i="3"/>
  <c r="S47" i="3"/>
  <c r="Y47" i="3" s="1"/>
  <c r="M47" i="3"/>
  <c r="S46" i="3"/>
  <c r="Y46" i="3" s="1"/>
  <c r="M46" i="3"/>
  <c r="S45" i="3"/>
  <c r="Y45" i="3" s="1"/>
  <c r="M45" i="3"/>
  <c r="S44" i="3"/>
  <c r="Y44" i="3" s="1"/>
  <c r="M44" i="3"/>
  <c r="S43" i="3"/>
  <c r="Y43" i="3" s="1"/>
  <c r="M43" i="3"/>
  <c r="S42" i="3"/>
  <c r="Y42" i="3" s="1"/>
  <c r="M42" i="3"/>
  <c r="S41" i="3"/>
  <c r="Y41" i="3" s="1"/>
  <c r="M41" i="3"/>
  <c r="S40" i="3"/>
  <c r="Y40" i="3" s="1"/>
  <c r="M40" i="3"/>
  <c r="S39" i="3"/>
  <c r="Y39" i="3" s="1"/>
  <c r="M39" i="3"/>
  <c r="S38" i="3"/>
  <c r="Y38" i="3" s="1"/>
  <c r="M38" i="3"/>
  <c r="S37" i="3"/>
  <c r="Y37" i="3" s="1"/>
  <c r="M37" i="3"/>
  <c r="S36" i="3"/>
  <c r="Y36" i="3" s="1"/>
  <c r="M36" i="3"/>
  <c r="S35" i="3"/>
  <c r="Y35" i="3" s="1"/>
  <c r="M35" i="3"/>
  <c r="S34" i="3"/>
  <c r="Y34" i="3" s="1"/>
  <c r="M34" i="3"/>
  <c r="S33" i="3"/>
  <c r="Y33" i="3" s="1"/>
  <c r="A12" i="1"/>
  <c r="AC53" i="2" l="1"/>
  <c r="V53" i="2"/>
  <c r="G53" i="2"/>
  <c r="W53" i="2"/>
  <c r="H53" i="2"/>
  <c r="P53" i="2"/>
  <c r="X53" i="2"/>
  <c r="I53" i="2"/>
  <c r="Q53" i="2"/>
  <c r="Y53" i="2"/>
  <c r="J53" i="2"/>
  <c r="R53" i="2"/>
  <c r="Z53" i="2"/>
  <c r="K53" i="2"/>
  <c r="S53" i="2"/>
  <c r="AA53" i="2"/>
  <c r="N53" i="2"/>
  <c r="AB53" i="2"/>
  <c r="F53" i="2"/>
  <c r="O53" i="2"/>
  <c r="L53" i="2"/>
  <c r="T53" i="2"/>
  <c r="M53" i="2"/>
  <c r="U53" i="2"/>
  <c r="Y58" i="3"/>
  <c r="S58" i="3"/>
  <c r="M33" i="3"/>
  <c r="M58" i="3" s="1"/>
</calcChain>
</file>

<file path=xl/sharedStrings.xml><?xml version="1.0" encoding="utf-8"?>
<sst xmlns="http://schemas.openxmlformats.org/spreadsheetml/2006/main" count="69" uniqueCount="24">
  <si>
    <t>Temperatura</t>
  </si>
  <si>
    <t>Prognoza / Plany na</t>
  </si>
  <si>
    <t xml:space="preserve"> </t>
  </si>
  <si>
    <t>Dane historyczne</t>
  </si>
  <si>
    <t>Temp.</t>
  </si>
  <si>
    <t>Historia</t>
  </si>
  <si>
    <t>pokaż wykres</t>
  </si>
  <si>
    <t>średnia</t>
  </si>
  <si>
    <t>1&gt;2</t>
  </si>
  <si>
    <t>Róznica</t>
  </si>
  <si>
    <t>% zmiana</t>
  </si>
  <si>
    <t>Różnica</t>
  </si>
  <si>
    <t>Tabela pomocnicza do skalowania wykresu</t>
  </si>
  <si>
    <t>data</t>
  </si>
  <si>
    <t>C-faktor</t>
  </si>
  <si>
    <t>Tabela pomocnicza do skalowania wykresu - straty</t>
  </si>
  <si>
    <t>Nasłonecznie</t>
  </si>
  <si>
    <t>Rynek Gazu</t>
  </si>
  <si>
    <t>Godz.</t>
  </si>
  <si>
    <t>n-1 na dzień:</t>
  </si>
  <si>
    <t>Nasłon.</t>
  </si>
  <si>
    <t>Doba</t>
  </si>
  <si>
    <t>Podobieństwo</t>
  </si>
  <si>
    <t>Doba gazowa: od 2017.01.01 godz. 6.00 do 2017.01.02 godz 6.00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</si>
</sst>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z_ł_-;\-* #,##0.00\ _z_ł_-;_-* &quot;-&quot;??\ _z_ł_-;_-@_-"/>
    <numFmt numFmtId="164" formatCode="dddd"/>
    <numFmt numFmtId="165" formatCode="0.0"/>
    <numFmt numFmtId="166" formatCode="_-* #,##0.0\ _z_ł_-;\-* #,##0.0\ _z_ł_-;_-* &quot;-&quot;??\ _z_ł_-;_-@_-"/>
    <numFmt numFmtId="167" formatCode="_-* #,##0\ _z_ł_-;\-* #,##0\ _z_ł_-;_-* &quot;-&quot;??\ _z_ł_-;_-@_-"/>
  </numFmts>
  <fonts count="2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8"/>
      <color rgb="FF000000"/>
      <name val="Tahoma"/>
      <family val="2"/>
      <charset val="238"/>
    </font>
    <font>
      <sz val="10"/>
      <name val="Arial"/>
      <family val="2"/>
      <charset val="238"/>
    </font>
    <font>
      <u/>
      <sz val="10"/>
      <color indexed="12"/>
      <name val="Arial"/>
      <family val="2"/>
      <charset val="238"/>
    </font>
    <font>
      <sz val="10"/>
      <color indexed="10"/>
      <name val="Arial"/>
      <family val="2"/>
      <charset val="238"/>
    </font>
    <font>
      <b/>
      <sz val="12"/>
      <name val="Tahoma"/>
      <family val="2"/>
      <charset val="238"/>
    </font>
    <font>
      <sz val="8"/>
      <name val="Tahoma"/>
      <family val="2"/>
      <charset val="238"/>
    </font>
    <font>
      <b/>
      <sz val="10"/>
      <name val="Arial"/>
      <family val="2"/>
      <charset val="238"/>
    </font>
    <font>
      <sz val="8"/>
      <color indexed="10"/>
      <name val="Tahoma"/>
      <family val="2"/>
      <charset val="238"/>
    </font>
    <font>
      <sz val="8"/>
      <name val="Arial"/>
      <family val="2"/>
      <charset val="238"/>
    </font>
    <font>
      <sz val="10"/>
      <name val="Tahoma"/>
      <family val="2"/>
      <charset val="238"/>
    </font>
    <font>
      <sz val="8"/>
      <color indexed="14"/>
      <name val="Tahoma"/>
      <family val="2"/>
      <charset val="238"/>
    </font>
    <font>
      <sz val="8"/>
      <color indexed="12"/>
      <name val="Tahoma"/>
      <family val="2"/>
      <charset val="238"/>
    </font>
    <font>
      <sz val="8"/>
      <color indexed="57"/>
      <name val="Tahoma"/>
      <family val="2"/>
      <charset val="238"/>
    </font>
    <font>
      <b/>
      <sz val="10"/>
      <name val="Tahoma"/>
      <family val="2"/>
      <charset val="238"/>
    </font>
    <font>
      <sz val="8"/>
      <color indexed="13"/>
      <name val="Tahoma"/>
      <family val="2"/>
      <charset val="238"/>
    </font>
    <font>
      <b/>
      <sz val="8"/>
      <color indexed="10"/>
      <name val="Tahoma"/>
      <family val="2"/>
      <charset val="238"/>
    </font>
    <font>
      <b/>
      <sz val="11"/>
      <name val="Arial"/>
      <family val="2"/>
      <charset val="238"/>
    </font>
    <font>
      <u/>
      <sz val="10"/>
      <color indexed="12"/>
      <name val="Tahoma"/>
      <family val="2"/>
      <charset val="238"/>
    </font>
    <font>
      <b/>
      <sz val="8"/>
      <name val="Tahoma"/>
      <family val="2"/>
      <charset val="238"/>
    </font>
    <font>
      <sz val="11"/>
      <color theme="1"/>
      <name val="Tahoma"/>
      <family val="2"/>
      <charset val="238"/>
    </font>
    <font>
      <sz val="11"/>
      <name val="Tahoma"/>
      <family val="2"/>
      <charset val="238"/>
    </font>
    <font>
      <b/>
      <sz val="10"/>
      <color rgb="FFFF0000"/>
      <name val="Tahoma"/>
      <family val="2"/>
      <charset val="238"/>
    </font>
    <font>
      <b/>
      <sz val="8"/>
      <name val="Arial"/>
      <family val="2"/>
      <charset val="238"/>
    </font>
    <font>
      <sz val="7"/>
      <name val="Tahoma"/>
      <family val="2"/>
      <charset val="238"/>
    </font>
    <font>
      <sz val="12"/>
      <name val="Tahoma"/>
      <family val="2"/>
      <charset val="238"/>
    </font>
    <font>
      <sz val="8"/>
      <color theme="1"/>
      <name val="Tahoma"/>
      <family val="2"/>
      <charset val="238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19">
    <xf numFmtId="0" fontId="0" fillId="0" borderId="0" xfId="0"/>
    <xf numFmtId="0" fontId="0" fillId="2" borderId="0" xfId="2" applyFont="1" applyFill="1"/>
    <xf numFmtId="0" fontId="0" fillId="0" borderId="0" xfId="2" applyFont="1" applyFill="1"/>
    <xf numFmtId="0" fontId="0" fillId="2" borderId="0" xfId="2" applyFont="1" applyFill="1" applyAlignment="1">
      <alignment horizontal="left"/>
    </xf>
    <xf numFmtId="0" fontId="4" fillId="2" borderId="0" xfId="3" applyFill="1" applyAlignment="1" applyProtection="1"/>
    <xf numFmtId="0" fontId="0" fillId="0" borderId="0" xfId="2" applyFont="1" applyFill="1" applyBorder="1"/>
    <xf numFmtId="0" fontId="5" fillId="2" borderId="0" xfId="2" applyFont="1" applyFill="1" applyBorder="1"/>
    <xf numFmtId="164" fontId="6" fillId="3" borderId="1" xfId="2" applyNumberFormat="1" applyFont="1" applyFill="1" applyBorder="1" applyAlignment="1">
      <alignment horizontal="center" vertical="center" textRotation="90"/>
    </xf>
    <xf numFmtId="164" fontId="0" fillId="3" borderId="6" xfId="2" applyNumberFormat="1" applyFont="1" applyFill="1" applyBorder="1" applyAlignment="1">
      <alignment horizontal="center" textRotation="90"/>
    </xf>
    <xf numFmtId="0" fontId="7" fillId="2" borderId="0" xfId="2" applyFont="1" applyFill="1" applyBorder="1"/>
    <xf numFmtId="0" fontId="0" fillId="2" borderId="0" xfId="2" applyFont="1" applyFill="1" applyBorder="1"/>
    <xf numFmtId="1" fontId="7" fillId="5" borderId="0" xfId="2" applyNumberFormat="1" applyFont="1" applyFill="1" applyBorder="1" applyAlignment="1">
      <alignment horizontal="center"/>
    </xf>
    <xf numFmtId="165" fontId="7" fillId="5" borderId="0" xfId="2" applyNumberFormat="1" applyFont="1" applyFill="1" applyBorder="1" applyAlignment="1">
      <alignment horizontal="center"/>
    </xf>
    <xf numFmtId="0" fontId="7" fillId="5" borderId="0" xfId="2" applyFont="1" applyFill="1" applyBorder="1" applyAlignment="1">
      <alignment horizontal="center"/>
    </xf>
    <xf numFmtId="2" fontId="7" fillId="5" borderId="0" xfId="2" applyNumberFormat="1" applyFont="1" applyFill="1" applyBorder="1" applyAlignment="1">
      <alignment horizontal="center"/>
    </xf>
    <xf numFmtId="164" fontId="7" fillId="5" borderId="0" xfId="2" applyNumberFormat="1" applyFont="1" applyFill="1" applyBorder="1" applyAlignment="1">
      <alignment horizontal="center"/>
    </xf>
    <xf numFmtId="164" fontId="9" fillId="2" borderId="0" xfId="2" applyNumberFormat="1" applyFont="1" applyFill="1" applyBorder="1" applyAlignment="1">
      <alignment horizontal="center"/>
    </xf>
    <xf numFmtId="0" fontId="7" fillId="2" borderId="0" xfId="2" applyFont="1" applyFill="1" applyBorder="1" applyAlignment="1">
      <alignment horizontal="center" vertical="center" wrapText="1"/>
    </xf>
    <xf numFmtId="0" fontId="7" fillId="2" borderId="0" xfId="2" applyFont="1" applyFill="1" applyBorder="1" applyAlignment="1">
      <alignment horizontal="center"/>
    </xf>
    <xf numFmtId="0" fontId="10" fillId="2" borderId="0" xfId="2" applyFont="1" applyFill="1" applyBorder="1" applyAlignment="1">
      <alignment horizontal="center"/>
    </xf>
    <xf numFmtId="0" fontId="7" fillId="4" borderId="17" xfId="2" applyFont="1" applyFill="1" applyBorder="1" applyAlignment="1">
      <alignment horizontal="center"/>
    </xf>
    <xf numFmtId="0" fontId="9" fillId="2" borderId="0" xfId="2" applyNumberFormat="1" applyFont="1" applyFill="1" applyBorder="1" applyAlignment="1">
      <alignment horizontal="center"/>
    </xf>
    <xf numFmtId="0" fontId="9" fillId="2" borderId="0" xfId="2" applyFont="1" applyFill="1" applyBorder="1" applyAlignment="1">
      <alignment horizontal="center"/>
    </xf>
    <xf numFmtId="0" fontId="7" fillId="2" borderId="0" xfId="2" applyFont="1" applyFill="1" applyBorder="1" applyAlignment="1">
      <alignment horizontal="left"/>
    </xf>
    <xf numFmtId="0" fontId="7" fillId="2" borderId="0" xfId="2" applyFont="1" applyFill="1" applyBorder="1" applyAlignment="1"/>
    <xf numFmtId="0" fontId="7" fillId="4" borderId="16" xfId="2" applyFont="1" applyFill="1" applyBorder="1" applyAlignment="1">
      <alignment horizontal="center"/>
    </xf>
    <xf numFmtId="0" fontId="11" fillId="2" borderId="0" xfId="2" applyFont="1" applyFill="1" applyBorder="1" applyAlignment="1">
      <alignment horizontal="center" vertical="center" textRotation="90" wrapText="1"/>
    </xf>
    <xf numFmtId="0" fontId="7" fillId="9" borderId="7" xfId="2" applyFont="1" applyFill="1" applyBorder="1" applyAlignment="1">
      <alignment horizontal="center"/>
    </xf>
    <xf numFmtId="1" fontId="7" fillId="0" borderId="0" xfId="2" applyNumberFormat="1" applyFont="1" applyFill="1" applyBorder="1" applyAlignment="1">
      <alignment horizontal="center"/>
    </xf>
    <xf numFmtId="0" fontId="7" fillId="0" borderId="0" xfId="2" applyNumberFormat="1" applyFont="1" applyFill="1" applyBorder="1" applyAlignment="1">
      <alignment horizontal="center"/>
    </xf>
    <xf numFmtId="14" fontId="7" fillId="2" borderId="0" xfId="2" applyNumberFormat="1" applyFont="1" applyFill="1" applyBorder="1" applyAlignment="1">
      <alignment horizontal="center"/>
    </xf>
    <xf numFmtId="1" fontId="7" fillId="0" borderId="0" xfId="2" applyNumberFormat="1" applyFont="1" applyFill="1" applyBorder="1" applyAlignment="1" applyProtection="1">
      <alignment horizontal="center"/>
      <protection hidden="1"/>
    </xf>
    <xf numFmtId="1" fontId="12" fillId="0" borderId="0" xfId="2" applyNumberFormat="1" applyFont="1" applyFill="1" applyBorder="1" applyAlignment="1">
      <alignment horizontal="center"/>
    </xf>
    <xf numFmtId="1" fontId="13" fillId="0" borderId="0" xfId="2" applyNumberFormat="1" applyFont="1" applyFill="1" applyBorder="1" applyAlignment="1">
      <alignment horizontal="center"/>
    </xf>
    <xf numFmtId="1" fontId="14" fillId="0" borderId="0" xfId="2" applyNumberFormat="1" applyFont="1" applyFill="1" applyBorder="1" applyAlignment="1">
      <alignment horizontal="center"/>
    </xf>
    <xf numFmtId="1" fontId="9" fillId="0" borderId="0" xfId="2" applyNumberFormat="1" applyFont="1" applyFill="1" applyBorder="1" applyAlignment="1">
      <alignment horizontal="center"/>
    </xf>
    <xf numFmtId="0" fontId="7" fillId="0" borderId="0" xfId="2" applyFont="1" applyFill="1" applyBorder="1" applyAlignment="1">
      <alignment horizontal="center"/>
    </xf>
    <xf numFmtId="0" fontId="15" fillId="2" borderId="0" xfId="2" applyNumberFormat="1" applyFont="1" applyFill="1" applyBorder="1" applyAlignment="1">
      <alignment horizontal="center"/>
    </xf>
    <xf numFmtId="2" fontId="16" fillId="0" borderId="0" xfId="2" applyNumberFormat="1" applyFont="1" applyFill="1" applyBorder="1" applyAlignment="1">
      <alignment horizontal="center"/>
    </xf>
    <xf numFmtId="0" fontId="7" fillId="2" borderId="0" xfId="2" applyFont="1" applyFill="1"/>
    <xf numFmtId="0" fontId="7" fillId="0" borderId="0" xfId="2" applyFont="1" applyFill="1"/>
    <xf numFmtId="0" fontId="7" fillId="0" borderId="0" xfId="2" applyFont="1" applyFill="1" applyBorder="1" applyAlignment="1">
      <alignment horizontal="center" vertical="center" textRotation="90" wrapText="1"/>
    </xf>
    <xf numFmtId="0" fontId="0" fillId="2" borderId="0" xfId="2" applyFont="1" applyFill="1" applyBorder="1" applyAlignment="1">
      <alignment horizontal="center"/>
    </xf>
    <xf numFmtId="0" fontId="10" fillId="2" borderId="0" xfId="2" applyFont="1" applyFill="1" applyBorder="1" applyAlignment="1">
      <alignment horizontal="center" vertical="center" wrapText="1"/>
    </xf>
    <xf numFmtId="0" fontId="7" fillId="2" borderId="0" xfId="2" applyFont="1" applyFill="1" applyBorder="1" applyAlignment="1">
      <alignment horizontal="center" vertical="center" textRotation="90"/>
    </xf>
    <xf numFmtId="0" fontId="11" fillId="0" borderId="0" xfId="2" applyFont="1" applyFill="1" applyBorder="1"/>
    <xf numFmtId="0" fontId="10" fillId="7" borderId="27" xfId="2" applyFont="1" applyFill="1" applyBorder="1"/>
    <xf numFmtId="14" fontId="0" fillId="7" borderId="29" xfId="2" applyNumberFormat="1" applyFont="1" applyFill="1" applyBorder="1" applyAlignment="1">
      <alignment horizontal="center"/>
    </xf>
    <xf numFmtId="1" fontId="7" fillId="4" borderId="7" xfId="2" applyNumberFormat="1" applyFont="1" applyFill="1" applyBorder="1" applyAlignment="1" applyProtection="1">
      <alignment horizontal="center"/>
      <protection hidden="1"/>
    </xf>
    <xf numFmtId="14" fontId="0" fillId="7" borderId="30" xfId="2" applyNumberFormat="1" applyFont="1" applyFill="1" applyBorder="1" applyAlignment="1">
      <alignment horizontal="center"/>
    </xf>
    <xf numFmtId="0" fontId="0" fillId="7" borderId="31" xfId="2" applyFont="1" applyFill="1" applyBorder="1" applyAlignment="1">
      <alignment horizontal="center"/>
    </xf>
    <xf numFmtId="1" fontId="17" fillId="4" borderId="28" xfId="2" applyNumberFormat="1" applyFont="1" applyFill="1" applyBorder="1" applyAlignment="1">
      <alignment horizontal="center"/>
    </xf>
    <xf numFmtId="1" fontId="17" fillId="4" borderId="34" xfId="2" applyNumberFormat="1" applyFont="1" applyFill="1" applyBorder="1" applyAlignment="1">
      <alignment horizontal="center"/>
    </xf>
    <xf numFmtId="0" fontId="8" fillId="2" borderId="0" xfId="2" applyFont="1" applyFill="1" applyBorder="1" applyAlignment="1">
      <alignment horizontal="center"/>
    </xf>
    <xf numFmtId="0" fontId="6" fillId="4" borderId="36" xfId="2" applyFont="1" applyFill="1" applyBorder="1" applyAlignment="1">
      <alignment horizontal="center"/>
    </xf>
    <xf numFmtId="1" fontId="17" fillId="4" borderId="36" xfId="2" applyNumberFormat="1" applyFont="1" applyFill="1" applyBorder="1" applyAlignment="1">
      <alignment horizontal="center"/>
    </xf>
    <xf numFmtId="1" fontId="17" fillId="4" borderId="37" xfId="2" applyNumberFormat="1" applyFont="1" applyFill="1" applyBorder="1" applyAlignment="1">
      <alignment horizontal="center"/>
    </xf>
    <xf numFmtId="1" fontId="17" fillId="4" borderId="38" xfId="2" applyNumberFormat="1" applyFont="1" applyFill="1" applyBorder="1" applyAlignment="1">
      <alignment horizontal="center"/>
    </xf>
    <xf numFmtId="0" fontId="7" fillId="2" borderId="0" xfId="2" applyNumberFormat="1" applyFont="1" applyFill="1" applyBorder="1" applyAlignment="1">
      <alignment horizontal="center"/>
    </xf>
    <xf numFmtId="1" fontId="9" fillId="2" borderId="0" xfId="2" applyNumberFormat="1" applyFont="1" applyFill="1" applyBorder="1" applyAlignment="1">
      <alignment horizontal="center"/>
    </xf>
    <xf numFmtId="0" fontId="0" fillId="0" borderId="0" xfId="2" applyNumberFormat="1" applyFont="1"/>
    <xf numFmtId="0" fontId="11" fillId="2" borderId="0" xfId="2" applyFont="1" applyFill="1" applyBorder="1"/>
    <xf numFmtId="0" fontId="11" fillId="2" borderId="0" xfId="2" applyFont="1" applyFill="1"/>
    <xf numFmtId="0" fontId="11" fillId="0" borderId="0" xfId="2" applyFont="1" applyFill="1"/>
    <xf numFmtId="0" fontId="11" fillId="0" borderId="0" xfId="2" applyFont="1"/>
    <xf numFmtId="0" fontId="11" fillId="2" borderId="0" xfId="2" applyFont="1" applyFill="1" applyBorder="1" applyAlignment="1">
      <alignment horizontal="left"/>
    </xf>
    <xf numFmtId="0" fontId="19" fillId="2" borderId="0" xfId="3" applyFont="1" applyFill="1" applyBorder="1" applyAlignment="1" applyProtection="1"/>
    <xf numFmtId="0" fontId="7" fillId="2" borderId="0" xfId="2" applyFont="1" applyFill="1" applyBorder="1" applyAlignment="1">
      <alignment horizontal="center" vertical="center"/>
    </xf>
    <xf numFmtId="0" fontId="11" fillId="2" borderId="0" xfId="2" applyFont="1" applyFill="1" applyBorder="1" applyAlignment="1"/>
    <xf numFmtId="165" fontId="7" fillId="2" borderId="0" xfId="2" applyNumberFormat="1" applyFont="1" applyFill="1" applyBorder="1" applyAlignment="1">
      <alignment horizontal="center"/>
    </xf>
    <xf numFmtId="2" fontId="7" fillId="2" borderId="0" xfId="2" applyNumberFormat="1" applyFont="1" applyFill="1" applyBorder="1" applyAlignment="1">
      <alignment horizontal="center"/>
    </xf>
    <xf numFmtId="164" fontId="7" fillId="2" borderId="0" xfId="2" applyNumberFormat="1" applyFont="1" applyFill="1" applyBorder="1" applyAlignment="1">
      <alignment horizontal="center"/>
    </xf>
    <xf numFmtId="0" fontId="7" fillId="2" borderId="0" xfId="2" applyNumberFormat="1" applyFont="1" applyFill="1" applyBorder="1" applyAlignment="1">
      <alignment horizontal="left"/>
    </xf>
    <xf numFmtId="0" fontId="7" fillId="2" borderId="0" xfId="2" applyNumberFormat="1" applyFont="1" applyFill="1" applyBorder="1" applyAlignment="1">
      <alignment horizontal="center" vertical="center" wrapText="1"/>
    </xf>
    <xf numFmtId="0" fontId="7" fillId="10" borderId="2" xfId="2" applyFont="1" applyFill="1" applyBorder="1"/>
    <xf numFmtId="0" fontId="7" fillId="10" borderId="5" xfId="2" applyFont="1" applyFill="1" applyBorder="1"/>
    <xf numFmtId="0" fontId="7" fillId="8" borderId="4" xfId="2" applyFont="1" applyFill="1" applyBorder="1"/>
    <xf numFmtId="0" fontId="7" fillId="4" borderId="2" xfId="2" applyFont="1" applyFill="1" applyBorder="1"/>
    <xf numFmtId="0" fontId="7" fillId="4" borderId="5" xfId="2" applyFont="1" applyFill="1" applyBorder="1"/>
    <xf numFmtId="0" fontId="7" fillId="6" borderId="2" xfId="2" applyFont="1" applyFill="1" applyBorder="1"/>
    <xf numFmtId="0" fontId="7" fillId="6" borderId="5" xfId="2" applyFont="1" applyFill="1" applyBorder="1"/>
    <xf numFmtId="0" fontId="7" fillId="10" borderId="0" xfId="2" applyFont="1" applyFill="1" applyBorder="1"/>
    <xf numFmtId="0" fontId="7" fillId="10" borderId="19" xfId="2" applyFont="1" applyFill="1" applyBorder="1"/>
    <xf numFmtId="0" fontId="7" fillId="8" borderId="18" xfId="2" applyFont="1" applyFill="1" applyBorder="1"/>
    <xf numFmtId="0" fontId="7" fillId="4" borderId="0" xfId="2" applyFont="1" applyFill="1" applyBorder="1"/>
    <xf numFmtId="0" fontId="7" fillId="4" borderId="19" xfId="2" applyFont="1" applyFill="1" applyBorder="1"/>
    <xf numFmtId="14" fontId="7" fillId="4" borderId="19" xfId="2" applyNumberFormat="1" applyFont="1" applyFill="1" applyBorder="1"/>
    <xf numFmtId="0" fontId="7" fillId="6" borderId="0" xfId="2" applyFont="1" applyFill="1" applyBorder="1"/>
    <xf numFmtId="0" fontId="7" fillId="6" borderId="19" xfId="2" applyFont="1" applyFill="1" applyBorder="1"/>
    <xf numFmtId="0" fontId="7" fillId="8" borderId="26" xfId="2" applyFont="1" applyFill="1" applyBorder="1"/>
    <xf numFmtId="0" fontId="7" fillId="8" borderId="39" xfId="2" applyFont="1" applyFill="1" applyBorder="1" applyAlignment="1">
      <alignment horizontal="center" vertical="center" wrapText="1"/>
    </xf>
    <xf numFmtId="0" fontId="7" fillId="10" borderId="13" xfId="2" applyFont="1" applyFill="1" applyBorder="1" applyAlignment="1">
      <alignment horizontal="center"/>
    </xf>
    <xf numFmtId="0" fontId="7" fillId="10" borderId="7" xfId="2" applyFont="1" applyFill="1" applyBorder="1" applyAlignment="1">
      <alignment horizontal="center"/>
    </xf>
    <xf numFmtId="2" fontId="7" fillId="10" borderId="7" xfId="2" applyNumberFormat="1" applyFont="1" applyFill="1" applyBorder="1" applyAlignment="1">
      <alignment horizontal="center"/>
    </xf>
    <xf numFmtId="1" fontId="7" fillId="10" borderId="8" xfId="2" applyNumberFormat="1" applyFont="1" applyFill="1" applyBorder="1" applyAlignment="1">
      <alignment horizontal="center"/>
    </xf>
    <xf numFmtId="1" fontId="7" fillId="8" borderId="7" xfId="2" applyNumberFormat="1" applyFont="1" applyFill="1" applyBorder="1" applyAlignment="1">
      <alignment horizontal="center"/>
    </xf>
    <xf numFmtId="2" fontId="7" fillId="4" borderId="7" xfId="2" applyNumberFormat="1" applyFont="1" applyFill="1" applyBorder="1" applyAlignment="1">
      <alignment horizontal="center"/>
    </xf>
    <xf numFmtId="1" fontId="10" fillId="4" borderId="7" xfId="2" applyNumberFormat="1" applyFont="1" applyFill="1" applyBorder="1" applyAlignment="1">
      <alignment horizontal="center"/>
    </xf>
    <xf numFmtId="165" fontId="7" fillId="4" borderId="14" xfId="2" applyNumberFormat="1" applyFont="1" applyFill="1" applyBorder="1" applyAlignment="1">
      <alignment horizontal="center"/>
    </xf>
    <xf numFmtId="0" fontId="7" fillId="6" borderId="9" xfId="2" applyFont="1" applyFill="1" applyBorder="1" applyAlignment="1">
      <alignment horizontal="center"/>
    </xf>
    <xf numFmtId="0" fontId="7" fillId="6" borderId="7" xfId="2" applyFont="1" applyFill="1" applyBorder="1" applyAlignment="1">
      <alignment horizontal="center"/>
    </xf>
    <xf numFmtId="2" fontId="7" fillId="6" borderId="7" xfId="2" applyNumberFormat="1" applyFont="1" applyFill="1" applyBorder="1" applyAlignment="1">
      <alignment horizontal="center"/>
    </xf>
    <xf numFmtId="1" fontId="7" fillId="6" borderId="14" xfId="2" applyNumberFormat="1" applyFont="1" applyFill="1" applyBorder="1" applyAlignment="1">
      <alignment horizontal="center"/>
    </xf>
    <xf numFmtId="1" fontId="7" fillId="8" borderId="13" xfId="2" applyNumberFormat="1" applyFont="1" applyFill="1" applyBorder="1" applyAlignment="1">
      <alignment horizontal="center"/>
    </xf>
    <xf numFmtId="0" fontId="7" fillId="10" borderId="40" xfId="2" applyFont="1" applyFill="1" applyBorder="1" applyAlignment="1">
      <alignment horizontal="center"/>
    </xf>
    <xf numFmtId="1" fontId="7" fillId="10" borderId="7" xfId="2" applyNumberFormat="1" applyFont="1" applyFill="1" applyBorder="1" applyAlignment="1">
      <alignment horizontal="center"/>
    </xf>
    <xf numFmtId="165" fontId="7" fillId="10" borderId="14" xfId="2" applyNumberFormat="1" applyFont="1" applyFill="1" applyBorder="1" applyAlignment="1">
      <alignment horizontal="center"/>
    </xf>
    <xf numFmtId="1" fontId="7" fillId="10" borderId="8" xfId="2" applyNumberFormat="1" applyFont="1" applyFill="1" applyBorder="1" applyAlignment="1">
      <alignment horizontal="center" vertical="center" wrapText="1"/>
    </xf>
    <xf numFmtId="1" fontId="7" fillId="6" borderId="14" xfId="2" applyNumberFormat="1" applyFont="1" applyFill="1" applyBorder="1" applyAlignment="1">
      <alignment horizontal="center" vertical="center" wrapText="1"/>
    </xf>
    <xf numFmtId="1" fontId="7" fillId="10" borderId="7" xfId="2" applyNumberFormat="1" applyFont="1" applyFill="1" applyBorder="1" applyAlignment="1">
      <alignment horizontal="center" vertical="center" wrapText="1"/>
    </xf>
    <xf numFmtId="1" fontId="7" fillId="2" borderId="0" xfId="2" applyNumberFormat="1" applyFont="1" applyFill="1" applyBorder="1" applyAlignment="1">
      <alignment horizontal="center"/>
    </xf>
    <xf numFmtId="1" fontId="7" fillId="2" borderId="0" xfId="2" applyNumberFormat="1" applyFont="1" applyFill="1" applyBorder="1" applyAlignment="1" applyProtection="1">
      <alignment horizontal="center"/>
      <protection hidden="1"/>
    </xf>
    <xf numFmtId="1" fontId="12" fillId="2" borderId="0" xfId="2" applyNumberFormat="1" applyFont="1" applyFill="1" applyBorder="1" applyAlignment="1">
      <alignment horizontal="center"/>
    </xf>
    <xf numFmtId="1" fontId="13" fillId="2" borderId="0" xfId="2" applyNumberFormat="1" applyFont="1" applyFill="1" applyBorder="1" applyAlignment="1">
      <alignment horizontal="center"/>
    </xf>
    <xf numFmtId="1" fontId="14" fillId="2" borderId="0" xfId="2" applyNumberFormat="1" applyFont="1" applyFill="1" applyBorder="1" applyAlignment="1">
      <alignment horizontal="center"/>
    </xf>
    <xf numFmtId="2" fontId="16" fillId="2" borderId="0" xfId="2" applyNumberFormat="1" applyFont="1" applyFill="1" applyBorder="1" applyAlignment="1">
      <alignment horizontal="center"/>
    </xf>
    <xf numFmtId="2" fontId="7" fillId="0" borderId="0" xfId="2" applyNumberFormat="1" applyFont="1" applyFill="1" applyBorder="1" applyAlignment="1">
      <alignment horizontal="center"/>
    </xf>
    <xf numFmtId="0" fontId="7" fillId="10" borderId="15" xfId="2" applyFont="1" applyFill="1" applyBorder="1" applyAlignment="1">
      <alignment horizontal="center"/>
    </xf>
    <xf numFmtId="0" fontId="7" fillId="10" borderId="16" xfId="2" applyFont="1" applyFill="1" applyBorder="1" applyAlignment="1">
      <alignment horizontal="center"/>
    </xf>
    <xf numFmtId="2" fontId="7" fillId="10" borderId="16" xfId="2" applyNumberFormat="1" applyFont="1" applyFill="1" applyBorder="1" applyAlignment="1">
      <alignment horizontal="center"/>
    </xf>
    <xf numFmtId="1" fontId="7" fillId="10" borderId="21" xfId="2" applyNumberFormat="1" applyFont="1" applyFill="1" applyBorder="1" applyAlignment="1">
      <alignment horizontal="center"/>
    </xf>
    <xf numFmtId="2" fontId="7" fillId="4" borderId="16" xfId="2" applyNumberFormat="1" applyFont="1" applyFill="1" applyBorder="1" applyAlignment="1">
      <alignment horizontal="center"/>
    </xf>
    <xf numFmtId="0" fontId="7" fillId="6" borderId="32" xfId="2" applyFont="1" applyFill="1" applyBorder="1" applyAlignment="1">
      <alignment horizontal="center"/>
    </xf>
    <xf numFmtId="0" fontId="7" fillId="6" borderId="16" xfId="2" applyFont="1" applyFill="1" applyBorder="1" applyAlignment="1">
      <alignment horizontal="center"/>
    </xf>
    <xf numFmtId="2" fontId="7" fillId="6" borderId="16" xfId="2" applyNumberFormat="1" applyFont="1" applyFill="1" applyBorder="1" applyAlignment="1">
      <alignment horizontal="center"/>
    </xf>
    <xf numFmtId="1" fontId="7" fillId="6" borderId="17" xfId="2" applyNumberFormat="1" applyFont="1" applyFill="1" applyBorder="1" applyAlignment="1">
      <alignment horizontal="center"/>
    </xf>
    <xf numFmtId="1" fontId="7" fillId="8" borderId="24" xfId="2" applyNumberFormat="1" applyFont="1" applyFill="1" applyBorder="1" applyAlignment="1">
      <alignment horizontal="center"/>
    </xf>
    <xf numFmtId="1" fontId="7" fillId="10" borderId="16" xfId="2" applyNumberFormat="1" applyFont="1" applyFill="1" applyBorder="1" applyAlignment="1">
      <alignment horizontal="center"/>
    </xf>
    <xf numFmtId="0" fontId="7" fillId="10" borderId="39" xfId="2" applyFont="1" applyFill="1" applyBorder="1" applyAlignment="1">
      <alignment horizontal="center"/>
    </xf>
    <xf numFmtId="0" fontId="7" fillId="10" borderId="12" xfId="2" applyFont="1" applyFill="1" applyBorder="1" applyAlignment="1">
      <alignment horizontal="center"/>
    </xf>
    <xf numFmtId="0" fontId="7" fillId="8" borderId="29" xfId="2" applyFont="1" applyFill="1" applyBorder="1" applyAlignment="1">
      <alignment horizontal="center"/>
    </xf>
    <xf numFmtId="0" fontId="7" fillId="4" borderId="39" xfId="2" applyFont="1" applyFill="1" applyBorder="1" applyAlignment="1">
      <alignment horizontal="center"/>
    </xf>
    <xf numFmtId="0" fontId="7" fillId="4" borderId="12" xfId="2" applyFont="1" applyFill="1" applyBorder="1" applyAlignment="1">
      <alignment horizontal="center"/>
    </xf>
    <xf numFmtId="0" fontId="7" fillId="6" borderId="39" xfId="2" applyFont="1" applyFill="1" applyBorder="1" applyAlignment="1">
      <alignment horizontal="center"/>
    </xf>
    <xf numFmtId="0" fontId="7" fillId="6" borderId="12" xfId="2" applyFont="1" applyFill="1" applyBorder="1" applyAlignment="1">
      <alignment horizontal="center"/>
    </xf>
    <xf numFmtId="0" fontId="7" fillId="8" borderId="41" xfId="2" applyFont="1" applyFill="1" applyBorder="1" applyAlignment="1">
      <alignment horizontal="center"/>
    </xf>
    <xf numFmtId="165" fontId="11" fillId="10" borderId="41" xfId="2" applyNumberFormat="1" applyFont="1" applyFill="1" applyBorder="1" applyAlignment="1">
      <alignment horizontal="center"/>
    </xf>
    <xf numFmtId="165" fontId="20" fillId="10" borderId="15" xfId="2" applyNumberFormat="1" applyFont="1" applyFill="1" applyBorder="1" applyAlignment="1">
      <alignment horizontal="center"/>
    </xf>
    <xf numFmtId="165" fontId="20" fillId="10" borderId="17" xfId="2" applyNumberFormat="1" applyFont="1" applyFill="1" applyBorder="1" applyAlignment="1">
      <alignment horizontal="center"/>
    </xf>
    <xf numFmtId="165" fontId="20" fillId="2" borderId="0" xfId="2" applyNumberFormat="1" applyFont="1" applyFill="1" applyBorder="1" applyAlignment="1">
      <alignment horizontal="center"/>
    </xf>
    <xf numFmtId="165" fontId="20" fillId="8" borderId="31" xfId="2" applyNumberFormat="1" applyFont="1" applyFill="1" applyBorder="1" applyAlignment="1">
      <alignment horizontal="center"/>
    </xf>
    <xf numFmtId="165" fontId="20" fillId="4" borderId="15" xfId="2" applyNumberFormat="1" applyFont="1" applyFill="1" applyBorder="1" applyAlignment="1">
      <alignment horizontal="center"/>
    </xf>
    <xf numFmtId="165" fontId="20" fillId="4" borderId="17" xfId="2" applyNumberFormat="1" applyFont="1" applyFill="1" applyBorder="1" applyAlignment="1">
      <alignment horizontal="center"/>
    </xf>
    <xf numFmtId="165" fontId="20" fillId="4" borderId="31" xfId="2" applyNumberFormat="1" applyFont="1" applyFill="1" applyBorder="1" applyAlignment="1">
      <alignment horizontal="center"/>
    </xf>
    <xf numFmtId="165" fontId="20" fillId="6" borderId="15" xfId="2" applyNumberFormat="1" applyFont="1" applyFill="1" applyBorder="1" applyAlignment="1">
      <alignment horizontal="center"/>
    </xf>
    <xf numFmtId="165" fontId="20" fillId="6" borderId="17" xfId="2" applyNumberFormat="1" applyFont="1" applyFill="1" applyBorder="1" applyAlignment="1">
      <alignment horizontal="center"/>
    </xf>
    <xf numFmtId="165" fontId="20" fillId="10" borderId="31" xfId="2" applyNumberFormat="1" applyFont="1" applyFill="1" applyBorder="1" applyAlignment="1">
      <alignment horizontal="center"/>
    </xf>
    <xf numFmtId="0" fontId="7" fillId="0" borderId="0" xfId="2" applyFont="1" applyFill="1" applyBorder="1" applyAlignment="1">
      <alignment horizontal="center"/>
    </xf>
    <xf numFmtId="0" fontId="7" fillId="4" borderId="7" xfId="2" applyFont="1" applyFill="1" applyBorder="1" applyAlignment="1">
      <alignment horizontal="center"/>
    </xf>
    <xf numFmtId="0" fontId="7" fillId="8" borderId="7" xfId="2" applyFont="1" applyFill="1" applyBorder="1" applyAlignment="1">
      <alignment horizontal="center"/>
    </xf>
    <xf numFmtId="14" fontId="7" fillId="8" borderId="7" xfId="2" applyNumberFormat="1" applyFont="1" applyFill="1" applyBorder="1" applyAlignment="1">
      <alignment horizontal="center"/>
    </xf>
    <xf numFmtId="165" fontId="7" fillId="7" borderId="40" xfId="2" applyNumberFormat="1" applyFont="1" applyFill="1" applyBorder="1" applyAlignment="1">
      <alignment horizontal="center"/>
    </xf>
    <xf numFmtId="0" fontId="7" fillId="7" borderId="7" xfId="2" applyFont="1" applyFill="1" applyBorder="1" applyAlignment="1">
      <alignment horizontal="center"/>
    </xf>
    <xf numFmtId="165" fontId="7" fillId="7" borderId="7" xfId="2" applyNumberFormat="1" applyFont="1" applyFill="1" applyBorder="1" applyAlignment="1">
      <alignment horizontal="center"/>
    </xf>
    <xf numFmtId="0" fontId="7" fillId="0" borderId="0" xfId="2" applyFont="1" applyAlignment="1">
      <alignment horizontal="center"/>
    </xf>
    <xf numFmtId="0" fontId="7" fillId="5" borderId="0" xfId="2" applyFont="1" applyFill="1" applyBorder="1" applyAlignment="1">
      <alignment horizontal="center" vertical="center" wrapText="1"/>
    </xf>
    <xf numFmtId="1" fontId="7" fillId="4" borderId="43" xfId="2" applyNumberFormat="1" applyFont="1" applyFill="1" applyBorder="1" applyAlignment="1" applyProtection="1">
      <alignment horizontal="center"/>
      <protection hidden="1"/>
    </xf>
    <xf numFmtId="1" fontId="7" fillId="4" borderId="3" xfId="2" applyNumberFormat="1" applyFont="1" applyFill="1" applyBorder="1" applyAlignment="1" applyProtection="1">
      <alignment horizontal="center"/>
      <protection hidden="1"/>
    </xf>
    <xf numFmtId="1" fontId="7" fillId="4" borderId="13" xfId="2" applyNumberFormat="1" applyFont="1" applyFill="1" applyBorder="1" applyAlignment="1" applyProtection="1">
      <alignment horizontal="center"/>
      <protection hidden="1"/>
    </xf>
    <xf numFmtId="1" fontId="7" fillId="4" borderId="15" xfId="2" applyNumberFormat="1" applyFont="1" applyFill="1" applyBorder="1" applyAlignment="1" applyProtection="1">
      <alignment horizontal="center"/>
      <protection hidden="1"/>
    </xf>
    <xf numFmtId="1" fontId="7" fillId="4" borderId="16" xfId="2" applyNumberFormat="1" applyFont="1" applyFill="1" applyBorder="1" applyAlignment="1" applyProtection="1">
      <alignment horizontal="center"/>
      <protection hidden="1"/>
    </xf>
    <xf numFmtId="1" fontId="17" fillId="4" borderId="46" xfId="2" applyNumberFormat="1" applyFont="1" applyFill="1" applyBorder="1" applyAlignment="1">
      <alignment horizontal="center"/>
    </xf>
    <xf numFmtId="0" fontId="7" fillId="8" borderId="40" xfId="2" applyFont="1" applyFill="1" applyBorder="1" applyAlignment="1">
      <alignment horizontal="center" vertical="center" wrapText="1"/>
    </xf>
    <xf numFmtId="0" fontId="7" fillId="7" borderId="40" xfId="2" applyFont="1" applyFill="1" applyBorder="1" applyAlignment="1">
      <alignment horizontal="center" vertical="center" wrapText="1"/>
    </xf>
    <xf numFmtId="0" fontId="7" fillId="6" borderId="40" xfId="2" applyFont="1" applyFill="1" applyBorder="1" applyAlignment="1">
      <alignment horizontal="center" vertical="center" wrapText="1"/>
    </xf>
    <xf numFmtId="0" fontId="0" fillId="5" borderId="0" xfId="2" applyNumberFormat="1" applyFont="1" applyFill="1"/>
    <xf numFmtId="1" fontId="0" fillId="5" borderId="0" xfId="2" applyNumberFormat="1" applyFont="1" applyFill="1" applyBorder="1"/>
    <xf numFmtId="0" fontId="0" fillId="5" borderId="0" xfId="2" applyFont="1" applyFill="1"/>
    <xf numFmtId="4" fontId="7" fillId="5" borderId="0" xfId="2" applyNumberFormat="1" applyFont="1" applyFill="1" applyBorder="1" applyAlignment="1">
      <alignment horizontal="center"/>
    </xf>
    <xf numFmtId="2" fontId="9" fillId="5" borderId="0" xfId="2" applyNumberFormat="1" applyFont="1" applyFill="1" applyBorder="1" applyAlignment="1">
      <alignment horizontal="center"/>
    </xf>
    <xf numFmtId="0" fontId="0" fillId="5" borderId="0" xfId="2" applyNumberFormat="1" applyFont="1" applyFill="1" applyBorder="1"/>
    <xf numFmtId="0" fontId="0" fillId="5" borderId="0" xfId="0" applyFill="1"/>
    <xf numFmtId="0" fontId="0" fillId="5" borderId="0" xfId="2" applyFont="1" applyFill="1" applyBorder="1"/>
    <xf numFmtId="1" fontId="7" fillId="5" borderId="0" xfId="2" applyNumberFormat="1" applyFont="1" applyFill="1" applyBorder="1" applyAlignment="1" applyProtection="1">
      <alignment horizontal="center"/>
      <protection hidden="1"/>
    </xf>
    <xf numFmtId="1" fontId="12" fillId="5" borderId="0" xfId="2" applyNumberFormat="1" applyFont="1" applyFill="1" applyBorder="1" applyAlignment="1">
      <alignment horizontal="center"/>
    </xf>
    <xf numFmtId="1" fontId="13" fillId="5" borderId="0" xfId="2" applyNumberFormat="1" applyFont="1" applyFill="1" applyBorder="1" applyAlignment="1">
      <alignment horizontal="center"/>
    </xf>
    <xf numFmtId="1" fontId="14" fillId="5" borderId="0" xfId="2" applyNumberFormat="1" applyFont="1" applyFill="1" applyBorder="1" applyAlignment="1">
      <alignment horizontal="center"/>
    </xf>
    <xf numFmtId="1" fontId="9" fillId="5" borderId="0" xfId="2" applyNumberFormat="1" applyFont="1" applyFill="1" applyBorder="1" applyAlignment="1">
      <alignment horizontal="center"/>
    </xf>
    <xf numFmtId="0" fontId="7" fillId="5" borderId="0" xfId="2" applyNumberFormat="1" applyFont="1" applyFill="1" applyBorder="1" applyAlignment="1">
      <alignment horizontal="center"/>
    </xf>
    <xf numFmtId="2" fontId="16" fillId="5" borderId="0" xfId="2" applyNumberFormat="1" applyFont="1" applyFill="1" applyBorder="1" applyAlignment="1">
      <alignment horizontal="center"/>
    </xf>
    <xf numFmtId="0" fontId="7" fillId="5" borderId="0" xfId="2" applyFont="1" applyFill="1"/>
    <xf numFmtId="14" fontId="7" fillId="5" borderId="0" xfId="2" applyNumberFormat="1" applyFont="1" applyFill="1" applyBorder="1" applyAlignment="1">
      <alignment horizontal="center"/>
    </xf>
    <xf numFmtId="0" fontId="7" fillId="4" borderId="7" xfId="2" applyFont="1" applyFill="1" applyBorder="1" applyAlignment="1">
      <alignment horizontal="center"/>
    </xf>
    <xf numFmtId="0" fontId="7" fillId="4" borderId="14" xfId="2" applyFont="1" applyFill="1" applyBorder="1" applyAlignment="1">
      <alignment horizontal="center"/>
    </xf>
    <xf numFmtId="14" fontId="0" fillId="2" borderId="0" xfId="2" applyNumberFormat="1" applyFont="1" applyFill="1"/>
    <xf numFmtId="0" fontId="7" fillId="5" borderId="0" xfId="2" applyFont="1" applyFill="1" applyBorder="1" applyAlignment="1">
      <alignment horizontal="center"/>
    </xf>
    <xf numFmtId="0" fontId="21" fillId="12" borderId="5" xfId="2" applyFont="1" applyFill="1" applyBorder="1"/>
    <xf numFmtId="0" fontId="21" fillId="12" borderId="2" xfId="2" applyFont="1" applyFill="1" applyBorder="1"/>
    <xf numFmtId="0" fontId="21" fillId="7" borderId="5" xfId="2" applyFont="1" applyFill="1" applyBorder="1"/>
    <xf numFmtId="0" fontId="21" fillId="7" borderId="2" xfId="2" applyFont="1" applyFill="1" applyBorder="1"/>
    <xf numFmtId="0" fontId="21" fillId="8" borderId="5" xfId="2" applyFont="1" applyFill="1" applyBorder="1"/>
    <xf numFmtId="0" fontId="21" fillId="8" borderId="2" xfId="2" applyFont="1" applyFill="1" applyBorder="1"/>
    <xf numFmtId="0" fontId="21" fillId="6" borderId="5" xfId="2" applyFont="1" applyFill="1" applyBorder="1"/>
    <xf numFmtId="0" fontId="21" fillId="6" borderId="2" xfId="2" applyFont="1" applyFill="1" applyBorder="1"/>
    <xf numFmtId="0" fontId="21" fillId="2" borderId="0" xfId="2" applyFont="1" applyFill="1" applyBorder="1"/>
    <xf numFmtId="0" fontId="21" fillId="5" borderId="0" xfId="0" applyFont="1" applyFill="1"/>
    <xf numFmtId="0" fontId="21" fillId="5" borderId="0" xfId="2" applyFont="1" applyFill="1"/>
    <xf numFmtId="0" fontId="21" fillId="0" borderId="0" xfId="2" applyFont="1" applyFill="1"/>
    <xf numFmtId="0" fontId="21" fillId="0" borderId="0" xfId="0" applyFont="1"/>
    <xf numFmtId="0" fontId="21" fillId="12" borderId="26" xfId="2" applyFont="1" applyFill="1" applyBorder="1"/>
    <xf numFmtId="0" fontId="21" fillId="12" borderId="35" xfId="2" applyFont="1" applyFill="1" applyBorder="1"/>
    <xf numFmtId="0" fontId="21" fillId="7" borderId="26" xfId="2" applyFont="1" applyFill="1" applyBorder="1"/>
    <xf numFmtId="0" fontId="21" fillId="7" borderId="35" xfId="2" applyFont="1" applyFill="1" applyBorder="1"/>
    <xf numFmtId="0" fontId="21" fillId="8" borderId="26" xfId="2" applyFont="1" applyFill="1" applyBorder="1"/>
    <xf numFmtId="0" fontId="21" fillId="8" borderId="35" xfId="2" applyFont="1" applyFill="1" applyBorder="1"/>
    <xf numFmtId="0" fontId="21" fillId="6" borderId="26" xfId="2" applyFont="1" applyFill="1" applyBorder="1"/>
    <xf numFmtId="0" fontId="21" fillId="6" borderId="35" xfId="2" applyFont="1" applyFill="1" applyBorder="1"/>
    <xf numFmtId="0" fontId="21" fillId="2" borderId="0" xfId="2" applyFont="1" applyFill="1"/>
    <xf numFmtId="2" fontId="7" fillId="9" borderId="7" xfId="2" applyNumberFormat="1" applyFont="1" applyFill="1" applyBorder="1" applyAlignment="1">
      <alignment horizontal="center"/>
    </xf>
    <xf numFmtId="2" fontId="7" fillId="7" borderId="7" xfId="2" applyNumberFormat="1" applyFont="1" applyFill="1" applyBorder="1" applyAlignment="1">
      <alignment horizontal="center"/>
    </xf>
    <xf numFmtId="1" fontId="7" fillId="7" borderId="14" xfId="2" applyNumberFormat="1" applyFont="1" applyFill="1" applyBorder="1" applyAlignment="1">
      <alignment horizontal="center"/>
    </xf>
    <xf numFmtId="0" fontId="7" fillId="8" borderId="13" xfId="2" applyFont="1" applyFill="1" applyBorder="1" applyAlignment="1">
      <alignment horizontal="center"/>
    </xf>
    <xf numFmtId="2" fontId="7" fillId="8" borderId="7" xfId="2" applyNumberFormat="1" applyFont="1" applyFill="1" applyBorder="1" applyAlignment="1">
      <alignment horizontal="center"/>
    </xf>
    <xf numFmtId="1" fontId="7" fillId="8" borderId="14" xfId="2" applyNumberFormat="1" applyFont="1" applyFill="1" applyBorder="1" applyAlignment="1">
      <alignment horizontal="center"/>
    </xf>
    <xf numFmtId="0" fontId="7" fillId="6" borderId="13" xfId="2" applyFont="1" applyFill="1" applyBorder="1" applyAlignment="1">
      <alignment horizontal="center"/>
    </xf>
    <xf numFmtId="3" fontId="7" fillId="7" borderId="9" xfId="2" applyNumberFormat="1" applyFont="1" applyFill="1" applyBorder="1" applyAlignment="1">
      <alignment horizontal="center"/>
    </xf>
    <xf numFmtId="1" fontId="7" fillId="7" borderId="14" xfId="2" applyNumberFormat="1" applyFont="1" applyFill="1" applyBorder="1" applyAlignment="1">
      <alignment horizontal="center" vertical="center" wrapText="1"/>
    </xf>
    <xf numFmtId="0" fontId="21" fillId="5" borderId="0" xfId="2" applyFont="1" applyFill="1" applyBorder="1"/>
    <xf numFmtId="0" fontId="21" fillId="0" borderId="0" xfId="2" applyFont="1" applyFill="1" applyBorder="1"/>
    <xf numFmtId="0" fontId="7" fillId="7" borderId="9" xfId="2" applyFont="1" applyFill="1" applyBorder="1" applyAlignment="1">
      <alignment horizontal="center"/>
    </xf>
    <xf numFmtId="1" fontId="7" fillId="8" borderId="14" xfId="2" applyNumberFormat="1" applyFont="1" applyFill="1" applyBorder="1" applyAlignment="1">
      <alignment horizontal="center" vertical="center" wrapText="1"/>
    </xf>
    <xf numFmtId="3" fontId="7" fillId="9" borderId="7" xfId="2" applyNumberFormat="1" applyFont="1" applyFill="1" applyBorder="1" applyAlignment="1">
      <alignment horizontal="center"/>
    </xf>
    <xf numFmtId="0" fontId="21" fillId="2" borderId="0" xfId="2" applyFont="1" applyFill="1" applyBorder="1" applyAlignment="1">
      <alignment horizontal="center" vertical="center" textRotation="90"/>
    </xf>
    <xf numFmtId="0" fontId="21" fillId="2" borderId="0" xfId="2" applyFont="1" applyFill="1" applyBorder="1" applyAlignment="1">
      <alignment horizontal="center"/>
    </xf>
    <xf numFmtId="0" fontId="7" fillId="9" borderId="16" xfId="2" applyFont="1" applyFill="1" applyBorder="1" applyAlignment="1">
      <alignment horizontal="center"/>
    </xf>
    <xf numFmtId="0" fontId="7" fillId="7" borderId="16" xfId="2" applyFont="1" applyFill="1" applyBorder="1" applyAlignment="1">
      <alignment horizontal="center"/>
    </xf>
    <xf numFmtId="2" fontId="7" fillId="7" borderId="16" xfId="2" applyNumberFormat="1" applyFont="1" applyFill="1" applyBorder="1" applyAlignment="1">
      <alignment horizontal="center"/>
    </xf>
    <xf numFmtId="1" fontId="7" fillId="7" borderId="17" xfId="2" applyNumberFormat="1" applyFont="1" applyFill="1" applyBorder="1" applyAlignment="1">
      <alignment horizontal="center"/>
    </xf>
    <xf numFmtId="0" fontId="7" fillId="8" borderId="15" xfId="2" applyFont="1" applyFill="1" applyBorder="1" applyAlignment="1">
      <alignment horizontal="center"/>
    </xf>
    <xf numFmtId="0" fontId="7" fillId="8" borderId="16" xfId="2" applyFont="1" applyFill="1" applyBorder="1" applyAlignment="1">
      <alignment horizontal="center"/>
    </xf>
    <xf numFmtId="2" fontId="7" fillId="8" borderId="16" xfId="2" applyNumberFormat="1" applyFont="1" applyFill="1" applyBorder="1" applyAlignment="1">
      <alignment horizontal="center"/>
    </xf>
    <xf numFmtId="1" fontId="7" fillId="8" borderId="17" xfId="2" applyNumberFormat="1" applyFont="1" applyFill="1" applyBorder="1" applyAlignment="1">
      <alignment horizontal="center"/>
    </xf>
    <xf numFmtId="0" fontId="7" fillId="6" borderId="15" xfId="2" applyFont="1" applyFill="1" applyBorder="1" applyAlignment="1">
      <alignment horizontal="center"/>
    </xf>
    <xf numFmtId="165" fontId="0" fillId="0" borderId="0" xfId="0" applyNumberFormat="1"/>
    <xf numFmtId="0" fontId="7" fillId="5" borderId="0" xfId="2" applyFont="1" applyFill="1" applyBorder="1" applyAlignment="1">
      <alignment horizontal="center" vertical="center" wrapText="1"/>
    </xf>
    <xf numFmtId="0" fontId="7" fillId="4" borderId="3" xfId="2" applyFont="1" applyFill="1" applyBorder="1" applyAlignment="1">
      <alignment horizontal="center" vertical="center" wrapText="1"/>
    </xf>
    <xf numFmtId="0" fontId="7" fillId="4" borderId="7" xfId="2" applyFont="1" applyFill="1" applyBorder="1" applyAlignment="1">
      <alignment horizontal="center"/>
    </xf>
    <xf numFmtId="0" fontId="7" fillId="4" borderId="44" xfId="2" applyFont="1" applyFill="1" applyBorder="1" applyAlignment="1">
      <alignment horizontal="center" vertical="center" wrapText="1"/>
    </xf>
    <xf numFmtId="0" fontId="7" fillId="5" borderId="0" xfId="2" applyFont="1" applyFill="1" applyBorder="1" applyAlignment="1">
      <alignment horizontal="center"/>
    </xf>
    <xf numFmtId="0" fontId="7" fillId="5" borderId="0" xfId="2" applyFont="1" applyFill="1" applyBorder="1"/>
    <xf numFmtId="0" fontId="11" fillId="5" borderId="0" xfId="2" applyFont="1" applyFill="1"/>
    <xf numFmtId="0" fontId="11" fillId="5" borderId="0" xfId="2" applyFont="1" applyFill="1" applyBorder="1"/>
    <xf numFmtId="1" fontId="11" fillId="5" borderId="0" xfId="2" applyNumberFormat="1" applyFont="1" applyFill="1"/>
    <xf numFmtId="0" fontId="7" fillId="10" borderId="39" xfId="2" applyFont="1" applyFill="1" applyBorder="1"/>
    <xf numFmtId="0" fontId="7" fillId="10" borderId="40" xfId="2" applyFont="1" applyFill="1" applyBorder="1" applyAlignment="1">
      <alignment horizontal="center" vertical="center" wrapText="1"/>
    </xf>
    <xf numFmtId="0" fontId="7" fillId="10" borderId="35" xfId="2" applyFont="1" applyFill="1" applyBorder="1"/>
    <xf numFmtId="0" fontId="7" fillId="4" borderId="35" xfId="2" applyFont="1" applyFill="1" applyBorder="1"/>
    <xf numFmtId="0" fontId="7" fillId="6" borderId="47" xfId="2" applyFont="1" applyFill="1" applyBorder="1"/>
    <xf numFmtId="0" fontId="7" fillId="6" borderId="12" xfId="2" applyFont="1" applyFill="1" applyBorder="1" applyAlignment="1">
      <alignment horizontal="center" vertical="center" wrapText="1"/>
    </xf>
    <xf numFmtId="0" fontId="7" fillId="10" borderId="10" xfId="2" applyFont="1" applyFill="1" applyBorder="1" applyAlignment="1">
      <alignment horizontal="center" vertical="center" wrapText="1"/>
    </xf>
    <xf numFmtId="0" fontId="7" fillId="10" borderId="47" xfId="2" applyFont="1" applyFill="1" applyBorder="1" applyAlignment="1">
      <alignment horizontal="center" vertical="center" wrapText="1"/>
    </xf>
    <xf numFmtId="0" fontId="7" fillId="10" borderId="12" xfId="2" applyFont="1" applyFill="1" applyBorder="1" applyAlignment="1">
      <alignment horizontal="center" vertical="center" wrapText="1"/>
    </xf>
    <xf numFmtId="0" fontId="7" fillId="10" borderId="25" xfId="2" applyFont="1" applyFill="1" applyBorder="1"/>
    <xf numFmtId="0" fontId="7" fillId="4" borderId="25" xfId="2" applyFont="1" applyFill="1" applyBorder="1"/>
    <xf numFmtId="0" fontId="7" fillId="4" borderId="35" xfId="2" applyFont="1" applyFill="1" applyBorder="1" applyAlignment="1">
      <alignment horizontal="center"/>
    </xf>
    <xf numFmtId="0" fontId="7" fillId="6" borderId="25" xfId="2" applyFont="1" applyFill="1" applyBorder="1"/>
    <xf numFmtId="0" fontId="7" fillId="6" borderId="35" xfId="2" applyFont="1" applyFill="1" applyBorder="1"/>
    <xf numFmtId="0" fontId="11" fillId="10" borderId="22" xfId="2" applyFont="1" applyFill="1" applyBorder="1"/>
    <xf numFmtId="0" fontId="11" fillId="10" borderId="23" xfId="2" applyFont="1" applyFill="1" applyBorder="1"/>
    <xf numFmtId="0" fontId="7" fillId="10" borderId="48" xfId="2" applyFont="1" applyFill="1" applyBorder="1" applyAlignment="1">
      <alignment horizontal="center"/>
    </xf>
    <xf numFmtId="166" fontId="7" fillId="4" borderId="29" xfId="1" applyNumberFormat="1" applyFont="1" applyFill="1" applyBorder="1" applyAlignment="1">
      <alignment horizontal="center"/>
    </xf>
    <xf numFmtId="0" fontId="7" fillId="10" borderId="3" xfId="2" applyFont="1" applyFill="1" applyBorder="1" applyAlignment="1">
      <alignment horizontal="center" vertical="center" wrapText="1"/>
    </xf>
    <xf numFmtId="0" fontId="7" fillId="10" borderId="49" xfId="2" applyFont="1" applyFill="1" applyBorder="1" applyAlignment="1">
      <alignment horizontal="center" vertical="center" wrapText="1"/>
    </xf>
    <xf numFmtId="0" fontId="7" fillId="8" borderId="3" xfId="2" applyFont="1" applyFill="1" applyBorder="1" applyAlignment="1">
      <alignment horizontal="center" vertical="center" wrapText="1"/>
    </xf>
    <xf numFmtId="0" fontId="7" fillId="4" borderId="3" xfId="2" applyFont="1" applyFill="1" applyBorder="1"/>
    <xf numFmtId="1" fontId="7" fillId="8" borderId="16" xfId="2" applyNumberFormat="1" applyFont="1" applyFill="1" applyBorder="1" applyAlignment="1">
      <alignment horizontal="center"/>
    </xf>
    <xf numFmtId="1" fontId="10" fillId="4" borderId="16" xfId="2" applyNumberFormat="1" applyFont="1" applyFill="1" applyBorder="1" applyAlignment="1">
      <alignment horizontal="center"/>
    </xf>
    <xf numFmtId="165" fontId="7" fillId="4" borderId="17" xfId="2" applyNumberFormat="1" applyFont="1" applyFill="1" applyBorder="1" applyAlignment="1">
      <alignment horizontal="center"/>
    </xf>
    <xf numFmtId="0" fontId="7" fillId="13" borderId="2" xfId="2" applyFont="1" applyFill="1" applyBorder="1"/>
    <xf numFmtId="0" fontId="7" fillId="13" borderId="5" xfId="2" applyFont="1" applyFill="1" applyBorder="1"/>
    <xf numFmtId="0" fontId="7" fillId="14" borderId="2" xfId="2" applyFont="1" applyFill="1" applyBorder="1"/>
    <xf numFmtId="0" fontId="7" fillId="14" borderId="5" xfId="2" applyFont="1" applyFill="1" applyBorder="1"/>
    <xf numFmtId="3" fontId="7" fillId="9" borderId="16" xfId="2" applyNumberFormat="1" applyFont="1" applyFill="1" applyBorder="1" applyAlignment="1">
      <alignment horizontal="center"/>
    </xf>
    <xf numFmtId="0" fontId="7" fillId="7" borderId="32" xfId="2" applyFont="1" applyFill="1" applyBorder="1" applyAlignment="1">
      <alignment horizontal="center"/>
    </xf>
    <xf numFmtId="0" fontId="7" fillId="8" borderId="12" xfId="2" applyFont="1" applyFill="1" applyBorder="1" applyAlignment="1">
      <alignment horizontal="center" vertical="center" wrapText="1"/>
    </xf>
    <xf numFmtId="0" fontId="21" fillId="12" borderId="25" xfId="2" applyFont="1" applyFill="1" applyBorder="1"/>
    <xf numFmtId="0" fontId="21" fillId="7" borderId="25" xfId="2" applyFont="1" applyFill="1" applyBorder="1"/>
    <xf numFmtId="0" fontId="21" fillId="8" borderId="25" xfId="2" applyFont="1" applyFill="1" applyBorder="1"/>
    <xf numFmtId="0" fontId="21" fillId="6" borderId="25" xfId="2" applyFont="1" applyFill="1" applyBorder="1"/>
    <xf numFmtId="0" fontId="7" fillId="9" borderId="43" xfId="2" applyFont="1" applyFill="1" applyBorder="1" applyAlignment="1">
      <alignment horizontal="center" vertical="center"/>
    </xf>
    <xf numFmtId="0" fontId="7" fillId="9" borderId="3" xfId="2" applyFont="1" applyFill="1" applyBorder="1" applyAlignment="1">
      <alignment horizontal="center" vertical="center" wrapText="1"/>
    </xf>
    <xf numFmtId="0" fontId="7" fillId="9" borderId="44" xfId="2" applyFont="1" applyFill="1" applyBorder="1" applyAlignment="1">
      <alignment horizontal="center" vertical="center" wrapText="1"/>
    </xf>
    <xf numFmtId="0" fontId="7" fillId="9" borderId="13" xfId="2" applyFont="1" applyFill="1" applyBorder="1" applyAlignment="1">
      <alignment horizontal="center"/>
    </xf>
    <xf numFmtId="1" fontId="7" fillId="9" borderId="14" xfId="2" applyNumberFormat="1" applyFont="1" applyFill="1" applyBorder="1" applyAlignment="1">
      <alignment horizontal="center"/>
    </xf>
    <xf numFmtId="1" fontId="7" fillId="9" borderId="14" xfId="2" applyNumberFormat="1" applyFont="1" applyFill="1" applyBorder="1" applyAlignment="1">
      <alignment horizontal="center" vertical="center" wrapText="1"/>
    </xf>
    <xf numFmtId="0" fontId="7" fillId="9" borderId="15" xfId="2" applyFont="1" applyFill="1" applyBorder="1" applyAlignment="1">
      <alignment horizontal="center"/>
    </xf>
    <xf numFmtId="1" fontId="7" fillId="9" borderId="17" xfId="2" applyNumberFormat="1" applyFont="1" applyFill="1" applyBorder="1" applyAlignment="1">
      <alignment horizontal="center"/>
    </xf>
    <xf numFmtId="0" fontId="23" fillId="14" borderId="4" xfId="2" applyFont="1" applyFill="1" applyBorder="1" applyAlignment="1">
      <alignment horizontal="left"/>
    </xf>
    <xf numFmtId="0" fontId="23" fillId="10" borderId="4" xfId="2" applyFont="1" applyFill="1" applyBorder="1" applyAlignment="1">
      <alignment horizontal="left"/>
    </xf>
    <xf numFmtId="0" fontId="23" fillId="13" borderId="4" xfId="2" applyFont="1" applyFill="1" applyBorder="1" applyAlignment="1">
      <alignment horizontal="left"/>
    </xf>
    <xf numFmtId="0" fontId="10" fillId="7" borderId="33" xfId="2" applyNumberFormat="1" applyFont="1" applyFill="1" applyBorder="1" applyAlignment="1">
      <alignment horizontal="center"/>
    </xf>
    <xf numFmtId="1" fontId="10" fillId="7" borderId="46" xfId="2" applyNumberFormat="1" applyFont="1" applyFill="1" applyBorder="1" applyAlignment="1">
      <alignment horizontal="center"/>
    </xf>
    <xf numFmtId="1" fontId="10" fillId="7" borderId="34" xfId="2" applyNumberFormat="1" applyFont="1" applyFill="1" applyBorder="1" applyAlignment="1">
      <alignment horizontal="center"/>
    </xf>
    <xf numFmtId="1" fontId="7" fillId="4" borderId="44" xfId="2" applyNumberFormat="1" applyFont="1" applyFill="1" applyBorder="1" applyAlignment="1" applyProtection="1">
      <alignment horizontal="center"/>
      <protection hidden="1"/>
    </xf>
    <xf numFmtId="1" fontId="7" fillId="4" borderId="14" xfId="2" applyNumberFormat="1" applyFont="1" applyFill="1" applyBorder="1" applyAlignment="1" applyProtection="1">
      <alignment horizontal="center"/>
      <protection hidden="1"/>
    </xf>
    <xf numFmtId="1" fontId="7" fillId="4" borderId="17" xfId="2" applyNumberFormat="1" applyFont="1" applyFill="1" applyBorder="1" applyAlignment="1" applyProtection="1">
      <alignment horizontal="center"/>
      <protection hidden="1"/>
    </xf>
    <xf numFmtId="1" fontId="24" fillId="7" borderId="33" xfId="2" applyNumberFormat="1" applyFont="1" applyFill="1" applyBorder="1" applyAlignment="1">
      <alignment horizontal="center"/>
    </xf>
    <xf numFmtId="0" fontId="24" fillId="7" borderId="33" xfId="2" applyNumberFormat="1" applyFont="1" applyFill="1" applyBorder="1" applyAlignment="1">
      <alignment horizontal="center"/>
    </xf>
    <xf numFmtId="1" fontId="24" fillId="7" borderId="46" xfId="2" applyNumberFormat="1" applyFont="1" applyFill="1" applyBorder="1" applyAlignment="1">
      <alignment horizontal="center"/>
    </xf>
    <xf numFmtId="1" fontId="20" fillId="4" borderId="3" xfId="2" applyNumberFormat="1" applyFont="1" applyFill="1" applyBorder="1" applyAlignment="1">
      <alignment horizontal="center"/>
    </xf>
    <xf numFmtId="1" fontId="20" fillId="4" borderId="3" xfId="2" applyNumberFormat="1" applyFont="1" applyFill="1" applyBorder="1" applyAlignment="1" applyProtection="1">
      <alignment horizontal="center"/>
      <protection hidden="1"/>
    </xf>
    <xf numFmtId="1" fontId="20" fillId="4" borderId="44" xfId="2" applyNumberFormat="1" applyFont="1" applyFill="1" applyBorder="1" applyAlignment="1">
      <alignment horizontal="center"/>
    </xf>
    <xf numFmtId="1" fontId="20" fillId="4" borderId="7" xfId="2" applyNumberFormat="1" applyFont="1" applyFill="1" applyBorder="1" applyAlignment="1">
      <alignment horizontal="center"/>
    </xf>
    <xf numFmtId="1" fontId="20" fillId="4" borderId="7" xfId="2" applyNumberFormat="1" applyFont="1" applyFill="1" applyBorder="1" applyAlignment="1" applyProtection="1">
      <alignment horizontal="center"/>
      <protection hidden="1"/>
    </xf>
    <xf numFmtId="1" fontId="20" fillId="4" borderId="14" xfId="2" applyNumberFormat="1" applyFont="1" applyFill="1" applyBorder="1" applyAlignment="1">
      <alignment horizontal="center"/>
    </xf>
    <xf numFmtId="1" fontId="20" fillId="4" borderId="16" xfId="2" applyNumberFormat="1" applyFont="1" applyFill="1" applyBorder="1" applyAlignment="1">
      <alignment horizontal="center"/>
    </xf>
    <xf numFmtId="1" fontId="20" fillId="4" borderId="17" xfId="2" applyNumberFormat="1" applyFont="1" applyFill="1" applyBorder="1" applyAlignment="1">
      <alignment horizontal="center"/>
    </xf>
    <xf numFmtId="14" fontId="0" fillId="0" borderId="0" xfId="0" applyNumberFormat="1"/>
    <xf numFmtId="14" fontId="3" fillId="7" borderId="36" xfId="2" applyNumberFormat="1" applyFont="1" applyFill="1" applyBorder="1" applyAlignment="1">
      <alignment horizontal="center"/>
    </xf>
    <xf numFmtId="14" fontId="0" fillId="11" borderId="11" xfId="2" applyNumberFormat="1" applyFont="1" applyFill="1" applyBorder="1"/>
    <xf numFmtId="14" fontId="0" fillId="11" borderId="42" xfId="2" applyNumberFormat="1" applyFont="1" applyFill="1" applyBorder="1"/>
    <xf numFmtId="14" fontId="0" fillId="11" borderId="45" xfId="2" applyNumberFormat="1" applyFont="1" applyFill="1" applyBorder="1"/>
    <xf numFmtId="14" fontId="0" fillId="5" borderId="0" xfId="2" applyNumberFormat="1" applyFont="1" applyFill="1" applyBorder="1"/>
    <xf numFmtId="14" fontId="9" fillId="5" borderId="0" xfId="2" applyNumberFormat="1" applyFont="1" applyFill="1" applyBorder="1" applyAlignment="1">
      <alignment horizontal="center"/>
    </xf>
    <xf numFmtId="14" fontId="0" fillId="5" borderId="0" xfId="2" applyNumberFormat="1" applyFont="1" applyFill="1"/>
    <xf numFmtId="14" fontId="0" fillId="0" borderId="0" xfId="2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7" fontId="25" fillId="4" borderId="13" xfId="1" applyNumberFormat="1" applyFont="1" applyFill="1" applyBorder="1" applyAlignment="1">
      <alignment horizontal="center" vertical="center"/>
    </xf>
    <xf numFmtId="167" fontId="25" fillId="4" borderId="15" xfId="1" applyNumberFormat="1" applyFont="1" applyFill="1" applyBorder="1" applyAlignment="1">
      <alignment horizontal="center" vertical="center"/>
    </xf>
    <xf numFmtId="167" fontId="25" fillId="14" borderId="13" xfId="1" applyNumberFormat="1" applyFont="1" applyFill="1" applyBorder="1" applyAlignment="1">
      <alignment horizontal="center" vertical="center"/>
    </xf>
    <xf numFmtId="167" fontId="25" fillId="14" borderId="15" xfId="1" applyNumberFormat="1" applyFont="1" applyFill="1" applyBorder="1" applyAlignment="1">
      <alignment horizontal="center" vertical="center"/>
    </xf>
    <xf numFmtId="14" fontId="25" fillId="4" borderId="7" xfId="2" applyNumberFormat="1" applyFont="1" applyFill="1" applyBorder="1" applyAlignment="1">
      <alignment horizontal="left" vertical="center" wrapText="1"/>
    </xf>
    <xf numFmtId="14" fontId="25" fillId="4" borderId="7" xfId="2" applyNumberFormat="1" applyFont="1" applyFill="1" applyBorder="1" applyAlignment="1">
      <alignment vertical="center"/>
    </xf>
    <xf numFmtId="14" fontId="25" fillId="4" borderId="16" xfId="2" applyNumberFormat="1" applyFont="1" applyFill="1" applyBorder="1" applyAlignment="1">
      <alignment vertical="center"/>
    </xf>
    <xf numFmtId="14" fontId="25" fillId="14" borderId="7" xfId="2" applyNumberFormat="1" applyFont="1" applyFill="1" applyBorder="1" applyAlignment="1">
      <alignment vertical="center"/>
    </xf>
    <xf numFmtId="14" fontId="25" fillId="14" borderId="16" xfId="2" applyNumberFormat="1" applyFont="1" applyFill="1" applyBorder="1" applyAlignment="1">
      <alignment vertical="center"/>
    </xf>
    <xf numFmtId="14" fontId="26" fillId="2" borderId="0" xfId="2" applyNumberFormat="1" applyFont="1" applyFill="1" applyAlignment="1"/>
    <xf numFmtId="0" fontId="7" fillId="7" borderId="47" xfId="2" applyFont="1" applyFill="1" applyBorder="1" applyAlignment="1">
      <alignment horizontal="center" vertical="center"/>
    </xf>
    <xf numFmtId="0" fontId="7" fillId="8" borderId="39" xfId="2" applyFont="1" applyFill="1" applyBorder="1" applyAlignment="1">
      <alignment horizontal="center" vertical="center"/>
    </xf>
    <xf numFmtId="0" fontId="7" fillId="6" borderId="39" xfId="2" applyFont="1" applyFill="1" applyBorder="1" applyAlignment="1">
      <alignment horizontal="center" vertical="center"/>
    </xf>
    <xf numFmtId="0" fontId="27" fillId="2" borderId="0" xfId="2" applyFont="1" applyFill="1"/>
    <xf numFmtId="0" fontId="27" fillId="5" borderId="0" xfId="0" applyFont="1" applyFill="1"/>
    <xf numFmtId="0" fontId="27" fillId="5" borderId="0" xfId="2" applyFont="1" applyFill="1"/>
    <xf numFmtId="0" fontId="27" fillId="0" borderId="0" xfId="2" applyFont="1" applyFill="1"/>
    <xf numFmtId="0" fontId="27" fillId="0" borderId="0" xfId="0" applyFont="1"/>
    <xf numFmtId="43" fontId="7" fillId="5" borderId="0" xfId="1" applyFont="1" applyFill="1" applyBorder="1" applyAlignment="1">
      <alignment horizontal="center"/>
    </xf>
    <xf numFmtId="14" fontId="26" fillId="2" borderId="0" xfId="2" applyNumberFormat="1" applyFont="1" applyFill="1" applyAlignment="1">
      <alignment horizontal="center" vertical="center"/>
    </xf>
    <xf numFmtId="14" fontId="21" fillId="6" borderId="4" xfId="2" applyNumberFormat="1" applyFont="1" applyFill="1" applyBorder="1" applyAlignment="1">
      <alignment horizontal="center" vertical="center"/>
    </xf>
    <xf numFmtId="14" fontId="21" fillId="6" borderId="5" xfId="2" applyNumberFormat="1" applyFont="1" applyFill="1" applyBorder="1" applyAlignment="1">
      <alignment horizontal="center" vertical="center"/>
    </xf>
    <xf numFmtId="14" fontId="21" fillId="6" borderId="26" xfId="2" applyNumberFormat="1" applyFont="1" applyFill="1" applyBorder="1" applyAlignment="1">
      <alignment horizontal="center" vertical="center"/>
    </xf>
    <xf numFmtId="14" fontId="21" fillId="6" borderId="35" xfId="2" applyNumberFormat="1" applyFont="1" applyFill="1" applyBorder="1" applyAlignment="1">
      <alignment horizontal="center" vertical="center"/>
    </xf>
    <xf numFmtId="0" fontId="7" fillId="5" borderId="0" xfId="2" applyFont="1" applyFill="1" applyBorder="1" applyAlignment="1">
      <alignment horizontal="center" vertical="center" wrapText="1"/>
    </xf>
    <xf numFmtId="0" fontId="7" fillId="4" borderId="3" xfId="2" applyFont="1" applyFill="1" applyBorder="1" applyAlignment="1">
      <alignment horizontal="center" vertical="center" wrapText="1"/>
    </xf>
    <xf numFmtId="0" fontId="7" fillId="4" borderId="7" xfId="2" applyFont="1" applyFill="1" applyBorder="1" applyAlignment="1">
      <alignment horizontal="center"/>
    </xf>
    <xf numFmtId="0" fontId="7" fillId="4" borderId="44" xfId="2" applyFont="1" applyFill="1" applyBorder="1" applyAlignment="1">
      <alignment horizontal="center" vertical="center" wrapText="1"/>
    </xf>
    <xf numFmtId="0" fontId="7" fillId="4" borderId="14" xfId="2" applyFont="1" applyFill="1" applyBorder="1" applyAlignment="1">
      <alignment horizontal="center"/>
    </xf>
    <xf numFmtId="14" fontId="7" fillId="5" borderId="0" xfId="2" applyNumberFormat="1" applyFont="1" applyFill="1" applyBorder="1" applyAlignment="1">
      <alignment horizontal="center" vertical="center" wrapText="1"/>
    </xf>
    <xf numFmtId="164" fontId="6" fillId="3" borderId="6" xfId="2" applyNumberFormat="1" applyFont="1" applyFill="1" applyBorder="1" applyAlignment="1">
      <alignment horizontal="center" textRotation="90"/>
    </xf>
    <xf numFmtId="164" fontId="6" fillId="3" borderId="6" xfId="2" applyNumberFormat="1" applyFont="1" applyFill="1" applyBorder="1" applyAlignment="1">
      <alignment horizontal="left" vertical="top" textRotation="90"/>
    </xf>
    <xf numFmtId="0" fontId="6" fillId="0" borderId="6" xfId="2" applyFont="1" applyBorder="1" applyAlignment="1">
      <alignment horizontal="left" vertical="top" textRotation="90"/>
    </xf>
    <xf numFmtId="0" fontId="6" fillId="0" borderId="20" xfId="2" applyFont="1" applyBorder="1" applyAlignment="1">
      <alignment horizontal="left" vertical="top" textRotation="90"/>
    </xf>
    <xf numFmtId="0" fontId="6" fillId="3" borderId="4" xfId="2" applyFont="1" applyFill="1" applyBorder="1" applyAlignment="1">
      <alignment horizontal="right" vertical="center" textRotation="90" wrapText="1"/>
    </xf>
    <xf numFmtId="0" fontId="21" fillId="0" borderId="18" xfId="2" applyFont="1" applyBorder="1" applyAlignment="1"/>
    <xf numFmtId="0" fontId="21" fillId="0" borderId="26" xfId="2" applyFont="1" applyBorder="1" applyAlignment="1"/>
    <xf numFmtId="14" fontId="22" fillId="12" borderId="4" xfId="2" applyNumberFormat="1" applyFont="1" applyFill="1" applyBorder="1" applyAlignment="1">
      <alignment horizontal="center" vertical="center" wrapText="1"/>
    </xf>
    <xf numFmtId="14" fontId="22" fillId="12" borderId="5" xfId="2" applyNumberFormat="1" applyFont="1" applyFill="1" applyBorder="1" applyAlignment="1">
      <alignment horizontal="center" vertical="center" wrapText="1"/>
    </xf>
    <xf numFmtId="14" fontId="22" fillId="12" borderId="26" xfId="2" applyNumberFormat="1" applyFont="1" applyFill="1" applyBorder="1" applyAlignment="1">
      <alignment horizontal="center" vertical="center" wrapText="1"/>
    </xf>
    <xf numFmtId="14" fontId="22" fillId="12" borderId="35" xfId="2" applyNumberFormat="1" applyFont="1" applyFill="1" applyBorder="1" applyAlignment="1">
      <alignment horizontal="center" vertical="center" wrapText="1"/>
    </xf>
    <xf numFmtId="14" fontId="21" fillId="7" borderId="4" xfId="2" applyNumberFormat="1" applyFont="1" applyFill="1" applyBorder="1" applyAlignment="1">
      <alignment horizontal="center" vertical="center"/>
    </xf>
    <xf numFmtId="14" fontId="21" fillId="7" borderId="5" xfId="2" applyNumberFormat="1" applyFont="1" applyFill="1" applyBorder="1" applyAlignment="1">
      <alignment horizontal="center" vertical="center"/>
    </xf>
    <xf numFmtId="14" fontId="21" fillId="7" borderId="26" xfId="2" applyNumberFormat="1" applyFont="1" applyFill="1" applyBorder="1" applyAlignment="1">
      <alignment horizontal="center" vertical="center"/>
    </xf>
    <xf numFmtId="14" fontId="21" fillId="7" borderId="35" xfId="2" applyNumberFormat="1" applyFont="1" applyFill="1" applyBorder="1" applyAlignment="1">
      <alignment horizontal="center" vertical="center"/>
    </xf>
    <xf numFmtId="14" fontId="21" fillId="8" borderId="4" xfId="2" applyNumberFormat="1" applyFont="1" applyFill="1" applyBorder="1" applyAlignment="1">
      <alignment horizontal="center" vertical="center"/>
    </xf>
    <xf numFmtId="14" fontId="21" fillId="8" borderId="5" xfId="2" applyNumberFormat="1" applyFont="1" applyFill="1" applyBorder="1" applyAlignment="1">
      <alignment horizontal="center" vertical="center"/>
    </xf>
    <xf numFmtId="14" fontId="21" fillId="8" borderId="26" xfId="2" applyNumberFormat="1" applyFont="1" applyFill="1" applyBorder="1" applyAlignment="1">
      <alignment horizontal="center" vertical="center"/>
    </xf>
    <xf numFmtId="14" fontId="21" fillId="8" borderId="35" xfId="2" applyNumberFormat="1" applyFont="1" applyFill="1" applyBorder="1" applyAlignment="1">
      <alignment horizontal="center" vertical="center"/>
    </xf>
    <xf numFmtId="164" fontId="25" fillId="14" borderId="7" xfId="2" applyNumberFormat="1" applyFont="1" applyFill="1" applyBorder="1" applyAlignment="1">
      <alignment horizontal="center" vertical="center"/>
    </xf>
    <xf numFmtId="164" fontId="25" fillId="14" borderId="14" xfId="2" applyNumberFormat="1" applyFont="1" applyFill="1" applyBorder="1" applyAlignment="1">
      <alignment horizontal="center" vertical="center"/>
    </xf>
    <xf numFmtId="164" fontId="25" fillId="14" borderId="16" xfId="2" applyNumberFormat="1" applyFont="1" applyFill="1" applyBorder="1" applyAlignment="1">
      <alignment horizontal="center" vertical="center"/>
    </xf>
    <xf numFmtId="164" fontId="25" fillId="14" borderId="17" xfId="2" applyNumberFormat="1" applyFont="1" applyFill="1" applyBorder="1" applyAlignment="1">
      <alignment horizontal="center" vertical="center"/>
    </xf>
    <xf numFmtId="164" fontId="25" fillId="4" borderId="7" xfId="2" applyNumberFormat="1" applyFont="1" applyFill="1" applyBorder="1" applyAlignment="1">
      <alignment horizontal="center" vertical="center"/>
    </xf>
    <xf numFmtId="164" fontId="25" fillId="4" borderId="14" xfId="2" applyNumberFormat="1" applyFont="1" applyFill="1" applyBorder="1" applyAlignment="1">
      <alignment horizontal="center" vertical="center"/>
    </xf>
    <xf numFmtId="164" fontId="25" fillId="4" borderId="16" xfId="2" applyNumberFormat="1" applyFont="1" applyFill="1" applyBorder="1" applyAlignment="1">
      <alignment horizontal="center" vertical="center"/>
    </xf>
    <xf numFmtId="164" fontId="25" fillId="4" borderId="17" xfId="2" applyNumberFormat="1" applyFont="1" applyFill="1" applyBorder="1" applyAlignment="1">
      <alignment horizontal="center" vertical="center"/>
    </xf>
    <xf numFmtId="0" fontId="8" fillId="14" borderId="43" xfId="2" applyFont="1" applyFill="1" applyBorder="1" applyAlignment="1">
      <alignment horizontal="center" vertical="center"/>
    </xf>
    <xf numFmtId="0" fontId="8" fillId="14" borderId="3" xfId="2" applyFont="1" applyFill="1" applyBorder="1" applyAlignment="1">
      <alignment horizontal="center" vertical="center"/>
    </xf>
    <xf numFmtId="0" fontId="8" fillId="14" borderId="44" xfId="2" applyFont="1" applyFill="1" applyBorder="1" applyAlignment="1">
      <alignment horizontal="center" vertical="center"/>
    </xf>
    <xf numFmtId="0" fontId="8" fillId="14" borderId="13" xfId="2" applyFont="1" applyFill="1" applyBorder="1" applyAlignment="1">
      <alignment horizontal="center" vertical="center"/>
    </xf>
    <xf numFmtId="0" fontId="8" fillId="14" borderId="7" xfId="2" applyFont="1" applyFill="1" applyBorder="1" applyAlignment="1">
      <alignment horizontal="center" vertical="center"/>
    </xf>
    <xf numFmtId="0" fontId="8" fillId="14" borderId="14" xfId="2" applyFont="1" applyFill="1" applyBorder="1" applyAlignment="1">
      <alignment horizontal="center" vertical="center"/>
    </xf>
    <xf numFmtId="0" fontId="7" fillId="4" borderId="50" xfId="2" applyFont="1" applyFill="1" applyBorder="1" applyAlignment="1">
      <alignment horizontal="center" vertical="center"/>
    </xf>
    <xf numFmtId="0" fontId="7" fillId="4" borderId="51" xfId="2" applyFont="1" applyFill="1" applyBorder="1" applyAlignment="1">
      <alignment horizontal="center" vertical="center"/>
    </xf>
    <xf numFmtId="0" fontId="7" fillId="4" borderId="40" xfId="2" applyFont="1" applyFill="1" applyBorder="1" applyAlignment="1">
      <alignment horizontal="center" vertical="center"/>
    </xf>
    <xf numFmtId="0" fontId="8" fillId="4" borderId="43" xfId="2" applyFont="1" applyFill="1" applyBorder="1" applyAlignment="1">
      <alignment horizontal="center" vertical="center" wrapText="1"/>
    </xf>
    <xf numFmtId="0" fontId="8" fillId="4" borderId="3" xfId="2" applyFont="1" applyFill="1" applyBorder="1" applyAlignment="1">
      <alignment horizontal="center" vertical="center" wrapText="1"/>
    </xf>
    <xf numFmtId="0" fontId="8" fillId="4" borderId="44" xfId="2" applyFont="1" applyFill="1" applyBorder="1" applyAlignment="1">
      <alignment horizontal="center" vertical="center" wrapText="1"/>
    </xf>
    <xf numFmtId="0" fontId="8" fillId="4" borderId="13" xfId="2" applyFont="1" applyFill="1" applyBorder="1" applyAlignment="1">
      <alignment horizontal="center" vertical="center" wrapText="1"/>
    </xf>
    <xf numFmtId="0" fontId="8" fillId="4" borderId="7" xfId="2" applyFont="1" applyFill="1" applyBorder="1" applyAlignment="1">
      <alignment horizontal="center" vertical="center" wrapText="1"/>
    </xf>
    <xf numFmtId="0" fontId="8" fillId="4" borderId="14" xfId="2" applyFont="1" applyFill="1" applyBorder="1" applyAlignment="1">
      <alignment horizontal="center" vertical="center" wrapText="1"/>
    </xf>
    <xf numFmtId="0" fontId="18" fillId="2" borderId="4" xfId="2" applyFont="1" applyFill="1" applyBorder="1" applyAlignment="1">
      <alignment horizontal="center" vertical="center"/>
    </xf>
    <xf numFmtId="0" fontId="0" fillId="0" borderId="2" xfId="2" applyFont="1" applyBorder="1" applyAlignment="1"/>
    <xf numFmtId="14" fontId="0" fillId="0" borderId="2" xfId="2" applyNumberFormat="1" applyFont="1" applyBorder="1" applyAlignment="1"/>
    <xf numFmtId="0" fontId="0" fillId="0" borderId="5" xfId="2" applyFont="1" applyBorder="1" applyAlignment="1"/>
    <xf numFmtId="0" fontId="0" fillId="0" borderId="18" xfId="2" applyFont="1" applyBorder="1" applyAlignment="1"/>
    <xf numFmtId="0" fontId="0" fillId="0" borderId="0" xfId="2" applyFont="1" applyBorder="1" applyAlignment="1"/>
    <xf numFmtId="14" fontId="0" fillId="0" borderId="25" xfId="2" applyNumberFormat="1" applyFont="1" applyBorder="1" applyAlignment="1"/>
    <xf numFmtId="0" fontId="0" fillId="0" borderId="25" xfId="2" applyFont="1" applyBorder="1" applyAlignment="1"/>
    <xf numFmtId="0" fontId="0" fillId="0" borderId="35" xfId="2" applyFont="1" applyBorder="1" applyAlignment="1"/>
    <xf numFmtId="0" fontId="11" fillId="5" borderId="0" xfId="2" applyFont="1" applyFill="1" applyBorder="1" applyAlignment="1">
      <alignment horizontal="center" vertical="center" textRotation="90" wrapText="1"/>
    </xf>
    <xf numFmtId="14" fontId="15" fillId="10" borderId="18" xfId="2" applyNumberFormat="1" applyFont="1" applyFill="1" applyBorder="1" applyAlignment="1">
      <alignment horizontal="center" vertical="center"/>
    </xf>
    <xf numFmtId="14" fontId="15" fillId="10" borderId="0" xfId="2" applyNumberFormat="1" applyFont="1" applyFill="1" applyBorder="1" applyAlignment="1">
      <alignment horizontal="center" vertical="center"/>
    </xf>
    <xf numFmtId="14" fontId="15" fillId="10" borderId="19" xfId="2" applyNumberFormat="1" applyFont="1" applyFill="1" applyBorder="1" applyAlignment="1">
      <alignment horizontal="center" vertical="center"/>
    </xf>
    <xf numFmtId="14" fontId="15" fillId="10" borderId="26" xfId="2" applyNumberFormat="1" applyFont="1" applyFill="1" applyBorder="1" applyAlignment="1">
      <alignment horizontal="center" vertical="center"/>
    </xf>
    <xf numFmtId="14" fontId="15" fillId="10" borderId="25" xfId="2" applyNumberFormat="1" applyFont="1" applyFill="1" applyBorder="1" applyAlignment="1">
      <alignment horizontal="center" vertical="center"/>
    </xf>
    <xf numFmtId="14" fontId="15" fillId="10" borderId="35" xfId="2" applyNumberFormat="1" applyFont="1" applyFill="1" applyBorder="1" applyAlignment="1">
      <alignment horizontal="center" vertical="center"/>
    </xf>
    <xf numFmtId="14" fontId="15" fillId="13" borderId="18" xfId="2" applyNumberFormat="1" applyFont="1" applyFill="1" applyBorder="1" applyAlignment="1">
      <alignment horizontal="center" vertical="center"/>
    </xf>
    <xf numFmtId="14" fontId="15" fillId="13" borderId="0" xfId="2" applyNumberFormat="1" applyFont="1" applyFill="1" applyBorder="1" applyAlignment="1">
      <alignment horizontal="center" vertical="center"/>
    </xf>
    <xf numFmtId="14" fontId="15" fillId="13" borderId="19" xfId="2" applyNumberFormat="1" applyFont="1" applyFill="1" applyBorder="1" applyAlignment="1">
      <alignment horizontal="center" vertical="center"/>
    </xf>
    <xf numFmtId="14" fontId="15" fillId="13" borderId="26" xfId="2" applyNumberFormat="1" applyFont="1" applyFill="1" applyBorder="1" applyAlignment="1">
      <alignment horizontal="center" vertical="center"/>
    </xf>
    <xf numFmtId="14" fontId="15" fillId="13" borderId="25" xfId="2" applyNumberFormat="1" applyFont="1" applyFill="1" applyBorder="1" applyAlignment="1">
      <alignment horizontal="center" vertical="center"/>
    </xf>
    <xf numFmtId="14" fontId="15" fillId="13" borderId="35" xfId="2" applyNumberFormat="1" applyFont="1" applyFill="1" applyBorder="1" applyAlignment="1">
      <alignment horizontal="center" vertical="center"/>
    </xf>
    <xf numFmtId="14" fontId="15" fillId="14" borderId="18" xfId="2" applyNumberFormat="1" applyFont="1" applyFill="1" applyBorder="1" applyAlignment="1">
      <alignment horizontal="center" vertical="center"/>
    </xf>
    <xf numFmtId="14" fontId="15" fillId="14" borderId="0" xfId="2" applyNumberFormat="1" applyFont="1" applyFill="1" applyBorder="1" applyAlignment="1">
      <alignment horizontal="center" vertical="center"/>
    </xf>
    <xf numFmtId="14" fontId="15" fillId="14" borderId="19" xfId="2" applyNumberFormat="1" applyFont="1" applyFill="1" applyBorder="1" applyAlignment="1">
      <alignment horizontal="center" vertical="center"/>
    </xf>
    <xf numFmtId="14" fontId="15" fillId="14" borderId="26" xfId="2" applyNumberFormat="1" applyFont="1" applyFill="1" applyBorder="1" applyAlignment="1">
      <alignment horizontal="center" vertical="center"/>
    </xf>
    <xf numFmtId="14" fontId="15" fillId="14" borderId="25" xfId="2" applyNumberFormat="1" applyFont="1" applyFill="1" applyBorder="1" applyAlignment="1">
      <alignment horizontal="center" vertical="center"/>
    </xf>
    <xf numFmtId="14" fontId="15" fillId="14" borderId="35" xfId="2" applyNumberFormat="1" applyFont="1" applyFill="1" applyBorder="1" applyAlignment="1">
      <alignment horizontal="center" vertical="center"/>
    </xf>
  </cellXfs>
  <cellStyles count="4">
    <cellStyle name="=C:\WINNT\SYSTEM32\COMMAND.COM" xfId="2"/>
    <cellStyle name="Dziesiętny" xfId="1" builtinId="3"/>
    <cellStyle name="Hiperłącze" xfId="3" builtinId="8"/>
    <cellStyle name="Normalny" xfId="0" builtinId="0"/>
  </cellStyles>
  <dxfs count="6">
    <dxf>
      <fill>
        <patternFill>
          <bgColor indexed="57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0"/>
        </patternFill>
      </fill>
    </dxf>
    <dxf>
      <fill>
        <patternFill>
          <bgColor indexed="52"/>
        </patternFill>
      </fill>
    </dxf>
    <dxf>
      <fill>
        <patternFill>
          <bgColor indexed="57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FF99"/>
      <color rgb="FFCCFFCC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r>
              <a:rPr lang="pl-PL"/>
              <a:t>Prognoza n-1</a:t>
            </a:r>
          </a:p>
        </c:rich>
      </c:tx>
      <c:layout>
        <c:manualLayout>
          <c:xMode val="edge"/>
          <c:yMode val="edge"/>
          <c:x val="0.48160453394653102"/>
          <c:y val="9.525641630125578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0558519912547536E-2"/>
          <c:y val="4.3375198771400891E-2"/>
          <c:w val="0.88914622756993666"/>
          <c:h val="0.88152387931111664"/>
        </c:manualLayout>
      </c:layout>
      <c:lineChart>
        <c:grouping val="standard"/>
        <c:varyColors val="0"/>
        <c:ser>
          <c:idx val="0"/>
          <c:order val="0"/>
          <c:tx>
            <c:strRef>
              <c:f>'Wykresy - 2'!$A$46</c:f>
              <c:strCache>
                <c:ptCount val="1"/>
                <c:pt idx="0">
                  <c:v>2017-02-03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none"/>
          </c:marker>
          <c:cat>
            <c:numRef>
              <c:f>'Wykresy - 2'!$C$45:$AC$45</c:f>
              <c:numCache>
                <c:formatCode>General</c:formatCode>
                <c:ptCount val="27"/>
                <c:pt idx="0" formatCode="0">
                  <c:v>4</c:v>
                </c:pt>
                <c:pt idx="1">
                  <c:v>5</c:v>
                </c:pt>
                <c:pt idx="2" formatCode="0">
                  <c:v>6</c:v>
                </c:pt>
                <c:pt idx="3" formatCode="0">
                  <c:v>7</c:v>
                </c:pt>
                <c:pt idx="4" formatCode="0">
                  <c:v>8</c:v>
                </c:pt>
                <c:pt idx="5">
                  <c:v>9</c:v>
                </c:pt>
                <c:pt idx="6" formatCode="0">
                  <c:v>10</c:v>
                </c:pt>
                <c:pt idx="7">
                  <c:v>11</c:v>
                </c:pt>
                <c:pt idx="8" formatCode="0">
                  <c:v>12</c:v>
                </c:pt>
                <c:pt idx="9">
                  <c:v>13</c:v>
                </c:pt>
                <c:pt idx="10" formatCode="0">
                  <c:v>14</c:v>
                </c:pt>
                <c:pt idx="11">
                  <c:v>15</c:v>
                </c:pt>
                <c:pt idx="12" formatCode="0">
                  <c:v>16</c:v>
                </c:pt>
                <c:pt idx="13">
                  <c:v>17</c:v>
                </c:pt>
                <c:pt idx="14" formatCode="0">
                  <c:v>18</c:v>
                </c:pt>
                <c:pt idx="15">
                  <c:v>19</c:v>
                </c:pt>
                <c:pt idx="16" formatCode="0">
                  <c:v>20</c:v>
                </c:pt>
                <c:pt idx="17">
                  <c:v>21</c:v>
                </c:pt>
                <c:pt idx="18" formatCode="0">
                  <c:v>22</c:v>
                </c:pt>
                <c:pt idx="19">
                  <c:v>23</c:v>
                </c:pt>
                <c:pt idx="20" formatCode="0">
                  <c:v>24</c:v>
                </c:pt>
                <c:pt idx="21">
                  <c:v>1</c:v>
                </c:pt>
                <c:pt idx="22" formatCode="0">
                  <c:v>2</c:v>
                </c:pt>
                <c:pt idx="23">
                  <c:v>3</c:v>
                </c:pt>
                <c:pt idx="24" formatCode="0">
                  <c:v>4</c:v>
                </c:pt>
                <c:pt idx="25">
                  <c:v>5</c:v>
                </c:pt>
                <c:pt idx="26" formatCode="0">
                  <c:v>6</c:v>
                </c:pt>
              </c:numCache>
            </c:numRef>
          </c:cat>
          <c:val>
            <c:numRef>
              <c:f>'Wykresy - 2'!$C$46:$AC$46</c:f>
              <c:numCache>
                <c:formatCode>0</c:formatCode>
                <c:ptCount val="27"/>
                <c:pt idx="0">
                  <c:v>186.92206299999995</c:v>
                </c:pt>
                <c:pt idx="1">
                  <c:v>187.18281499999998</c:v>
                </c:pt>
                <c:pt idx="2">
                  <c:v>185.19604999999993</c:v>
                </c:pt>
                <c:pt idx="3">
                  <c:v>163.61407700000001</c:v>
                </c:pt>
                <c:pt idx="4">
                  <c:v>165.33067099999997</c:v>
                </c:pt>
                <c:pt idx="5">
                  <c:v>166.26273399999999</c:v>
                </c:pt>
                <c:pt idx="6">
                  <c:v>165.54445999999999</c:v>
                </c:pt>
                <c:pt idx="7">
                  <c:v>166.77400100000003</c:v>
                </c:pt>
                <c:pt idx="8">
                  <c:v>169.92681000000002</c:v>
                </c:pt>
                <c:pt idx="9">
                  <c:v>169.60581999999999</c:v>
                </c:pt>
                <c:pt idx="10">
                  <c:v>166.87072100000003</c:v>
                </c:pt>
                <c:pt idx="11">
                  <c:v>167.08195999999998</c:v>
                </c:pt>
                <c:pt idx="12">
                  <c:v>165.409142</c:v>
                </c:pt>
                <c:pt idx="13">
                  <c:v>160.56865900000003</c:v>
                </c:pt>
                <c:pt idx="14">
                  <c:v>156.84316000000001</c:v>
                </c:pt>
                <c:pt idx="15">
                  <c:v>159.19912500000001</c:v>
                </c:pt>
                <c:pt idx="16">
                  <c:v>160.57524800000004</c:v>
                </c:pt>
                <c:pt idx="17">
                  <c:v>163.48030200000005</c:v>
                </c:pt>
                <c:pt idx="18">
                  <c:v>163.80339000000004</c:v>
                </c:pt>
                <c:pt idx="19">
                  <c:v>160.44423500000005</c:v>
                </c:pt>
                <c:pt idx="20">
                  <c:v>162.75624199999999</c:v>
                </c:pt>
                <c:pt idx="21">
                  <c:v>165.464912</c:v>
                </c:pt>
                <c:pt idx="22">
                  <c:v>160.1154580000001</c:v>
                </c:pt>
                <c:pt idx="23">
                  <c:v>163.50987600000005</c:v>
                </c:pt>
                <c:pt idx="24">
                  <c:v>161.63872999999998</c:v>
                </c:pt>
                <c:pt idx="25">
                  <c:v>163.75022300000001</c:v>
                </c:pt>
                <c:pt idx="26">
                  <c:v>169.08536400000006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'Wykresy - 2'!$A$47</c:f>
              <c:strCache>
                <c:ptCount val="1"/>
                <c:pt idx="0">
                  <c:v>2017-02-02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  <a:effectLst/>
          </c:spPr>
          <c:marker>
            <c:symbol val="none"/>
          </c:marker>
          <c:cat>
            <c:numRef>
              <c:f>'Wykresy - 2'!$C$45:$AC$45</c:f>
              <c:numCache>
                <c:formatCode>General</c:formatCode>
                <c:ptCount val="27"/>
                <c:pt idx="0" formatCode="0">
                  <c:v>4</c:v>
                </c:pt>
                <c:pt idx="1">
                  <c:v>5</c:v>
                </c:pt>
                <c:pt idx="2" formatCode="0">
                  <c:v>6</c:v>
                </c:pt>
                <c:pt idx="3" formatCode="0">
                  <c:v>7</c:v>
                </c:pt>
                <c:pt idx="4" formatCode="0">
                  <c:v>8</c:v>
                </c:pt>
                <c:pt idx="5">
                  <c:v>9</c:v>
                </c:pt>
                <c:pt idx="6" formatCode="0">
                  <c:v>10</c:v>
                </c:pt>
                <c:pt idx="7">
                  <c:v>11</c:v>
                </c:pt>
                <c:pt idx="8" formatCode="0">
                  <c:v>12</c:v>
                </c:pt>
                <c:pt idx="9">
                  <c:v>13</c:v>
                </c:pt>
                <c:pt idx="10" formatCode="0">
                  <c:v>14</c:v>
                </c:pt>
                <c:pt idx="11">
                  <c:v>15</c:v>
                </c:pt>
                <c:pt idx="12" formatCode="0">
                  <c:v>16</c:v>
                </c:pt>
                <c:pt idx="13">
                  <c:v>17</c:v>
                </c:pt>
                <c:pt idx="14" formatCode="0">
                  <c:v>18</c:v>
                </c:pt>
                <c:pt idx="15">
                  <c:v>19</c:v>
                </c:pt>
                <c:pt idx="16" formatCode="0">
                  <c:v>20</c:v>
                </c:pt>
                <c:pt idx="17">
                  <c:v>21</c:v>
                </c:pt>
                <c:pt idx="18" formatCode="0">
                  <c:v>22</c:v>
                </c:pt>
                <c:pt idx="19">
                  <c:v>23</c:v>
                </c:pt>
                <c:pt idx="20" formatCode="0">
                  <c:v>24</c:v>
                </c:pt>
                <c:pt idx="21">
                  <c:v>1</c:v>
                </c:pt>
                <c:pt idx="22" formatCode="0">
                  <c:v>2</c:v>
                </c:pt>
                <c:pt idx="23">
                  <c:v>3</c:v>
                </c:pt>
                <c:pt idx="24" formatCode="0">
                  <c:v>4</c:v>
                </c:pt>
                <c:pt idx="25">
                  <c:v>5</c:v>
                </c:pt>
                <c:pt idx="26" formatCode="0">
                  <c:v>6</c:v>
                </c:pt>
              </c:numCache>
            </c:numRef>
          </c:cat>
          <c:val>
            <c:numRef>
              <c:f>'Wykresy - 2'!$C$47:$AC$47</c:f>
              <c:numCache>
                <c:formatCode>0</c:formatCode>
                <c:ptCount val="27"/>
                <c:pt idx="0">
                  <c:v>191.34622500000006</c:v>
                </c:pt>
                <c:pt idx="1">
                  <c:v>194.22302600000006</c:v>
                </c:pt>
                <c:pt idx="2">
                  <c:v>193.57837800000001</c:v>
                </c:pt>
                <c:pt idx="3">
                  <c:v>185.44924300000002</c:v>
                </c:pt>
                <c:pt idx="4">
                  <c:v>184.57111200000003</c:v>
                </c:pt>
                <c:pt idx="5">
                  <c:v>185.01452299999994</c:v>
                </c:pt>
                <c:pt idx="6">
                  <c:v>188.20212199999992</c:v>
                </c:pt>
                <c:pt idx="7">
                  <c:v>190.99848499999993</c:v>
                </c:pt>
                <c:pt idx="8">
                  <c:v>188.11407699999995</c:v>
                </c:pt>
                <c:pt idx="9">
                  <c:v>190.81377099999992</c:v>
                </c:pt>
                <c:pt idx="10">
                  <c:v>186.43783999999991</c:v>
                </c:pt>
                <c:pt idx="11">
                  <c:v>183.03049500000003</c:v>
                </c:pt>
                <c:pt idx="12">
                  <c:v>181.85659700000002</c:v>
                </c:pt>
                <c:pt idx="13">
                  <c:v>177.45324999999997</c:v>
                </c:pt>
                <c:pt idx="14">
                  <c:v>177.58917599999995</c:v>
                </c:pt>
                <c:pt idx="15">
                  <c:v>176.41456000000005</c:v>
                </c:pt>
                <c:pt idx="16">
                  <c:v>172.87826299999992</c:v>
                </c:pt>
                <c:pt idx="17">
                  <c:v>173.80621899999994</c:v>
                </c:pt>
                <c:pt idx="18">
                  <c:v>177.30487899999991</c:v>
                </c:pt>
                <c:pt idx="19">
                  <c:v>176.89952599999992</c:v>
                </c:pt>
                <c:pt idx="20">
                  <c:v>183.22515299999995</c:v>
                </c:pt>
                <c:pt idx="21">
                  <c:v>183.88778899999997</c:v>
                </c:pt>
                <c:pt idx="22">
                  <c:v>183.91210699999996</c:v>
                </c:pt>
                <c:pt idx="23">
                  <c:v>185.30496499999998</c:v>
                </c:pt>
                <c:pt idx="24">
                  <c:v>186.92206299999995</c:v>
                </c:pt>
                <c:pt idx="25">
                  <c:v>187.18281499999998</c:v>
                </c:pt>
                <c:pt idx="26">
                  <c:v>185.19604999999993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'Wykresy - 2'!$A$48</c:f>
              <c:strCache>
                <c:ptCount val="1"/>
                <c:pt idx="0">
                  <c:v>2017-02-15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cat>
            <c:numRef>
              <c:f>'Wykresy - 2'!$C$45:$AC$45</c:f>
              <c:numCache>
                <c:formatCode>General</c:formatCode>
                <c:ptCount val="27"/>
                <c:pt idx="0" formatCode="0">
                  <c:v>4</c:v>
                </c:pt>
                <c:pt idx="1">
                  <c:v>5</c:v>
                </c:pt>
                <c:pt idx="2" formatCode="0">
                  <c:v>6</c:v>
                </c:pt>
                <c:pt idx="3" formatCode="0">
                  <c:v>7</c:v>
                </c:pt>
                <c:pt idx="4" formatCode="0">
                  <c:v>8</c:v>
                </c:pt>
                <c:pt idx="5">
                  <c:v>9</c:v>
                </c:pt>
                <c:pt idx="6" formatCode="0">
                  <c:v>10</c:v>
                </c:pt>
                <c:pt idx="7">
                  <c:v>11</c:v>
                </c:pt>
                <c:pt idx="8" formatCode="0">
                  <c:v>12</c:v>
                </c:pt>
                <c:pt idx="9">
                  <c:v>13</c:v>
                </c:pt>
                <c:pt idx="10" formatCode="0">
                  <c:v>14</c:v>
                </c:pt>
                <c:pt idx="11">
                  <c:v>15</c:v>
                </c:pt>
                <c:pt idx="12" formatCode="0">
                  <c:v>16</c:v>
                </c:pt>
                <c:pt idx="13">
                  <c:v>17</c:v>
                </c:pt>
                <c:pt idx="14" formatCode="0">
                  <c:v>18</c:v>
                </c:pt>
                <c:pt idx="15">
                  <c:v>19</c:v>
                </c:pt>
                <c:pt idx="16" formatCode="0">
                  <c:v>20</c:v>
                </c:pt>
                <c:pt idx="17">
                  <c:v>21</c:v>
                </c:pt>
                <c:pt idx="18" formatCode="0">
                  <c:v>22</c:v>
                </c:pt>
                <c:pt idx="19">
                  <c:v>23</c:v>
                </c:pt>
                <c:pt idx="20" formatCode="0">
                  <c:v>24</c:v>
                </c:pt>
                <c:pt idx="21">
                  <c:v>1</c:v>
                </c:pt>
                <c:pt idx="22" formatCode="0">
                  <c:v>2</c:v>
                </c:pt>
                <c:pt idx="23">
                  <c:v>3</c:v>
                </c:pt>
                <c:pt idx="24" formatCode="0">
                  <c:v>4</c:v>
                </c:pt>
                <c:pt idx="25">
                  <c:v>5</c:v>
                </c:pt>
                <c:pt idx="26" formatCode="0">
                  <c:v>6</c:v>
                </c:pt>
              </c:numCache>
            </c:numRef>
          </c:cat>
          <c:val>
            <c:numRef>
              <c:f>'Wykresy - 2'!$C$48:$AC$48</c:f>
              <c:numCache>
                <c:formatCode>0</c:formatCode>
                <c:ptCount val="27"/>
                <c:pt idx="0">
                  <c:v>188.80394700000002</c:v>
                </c:pt>
                <c:pt idx="1">
                  <c:v>190.53227200000012</c:v>
                </c:pt>
                <c:pt idx="2">
                  <c:v>191.07033399999997</c:v>
                </c:pt>
                <c:pt idx="3">
                  <c:v>167.05813500000002</c:v>
                </c:pt>
                <c:pt idx="4">
                  <c:v>170.39978099999993</c:v>
                </c:pt>
                <c:pt idx="5">
                  <c:v>170.76194700000002</c:v>
                </c:pt>
                <c:pt idx="6">
                  <c:v>177.80940100000004</c:v>
                </c:pt>
                <c:pt idx="7">
                  <c:v>179.45221299999997</c:v>
                </c:pt>
                <c:pt idx="8">
                  <c:v>184.36298899999997</c:v>
                </c:pt>
                <c:pt idx="9">
                  <c:v>186.84212900000003</c:v>
                </c:pt>
                <c:pt idx="10">
                  <c:v>186.30220400000002</c:v>
                </c:pt>
                <c:pt idx="11">
                  <c:v>186.18876700000004</c:v>
                </c:pt>
                <c:pt idx="12">
                  <c:v>185.42363500000005</c:v>
                </c:pt>
                <c:pt idx="13">
                  <c:v>179.71737900000002</c:v>
                </c:pt>
                <c:pt idx="14">
                  <c:v>176.63733400000001</c:v>
                </c:pt>
                <c:pt idx="15">
                  <c:v>174.14763100000002</c:v>
                </c:pt>
                <c:pt idx="16">
                  <c:v>170.84973000000008</c:v>
                </c:pt>
                <c:pt idx="17">
                  <c:v>171.78827399999997</c:v>
                </c:pt>
                <c:pt idx="18">
                  <c:v>174.505922</c:v>
                </c:pt>
                <c:pt idx="19">
                  <c:v>173.69458700000001</c:v>
                </c:pt>
                <c:pt idx="20">
                  <c:v>171.64759099999998</c:v>
                </c:pt>
                <c:pt idx="21">
                  <c:v>172.367141</c:v>
                </c:pt>
                <c:pt idx="22">
                  <c:v>173.686486</c:v>
                </c:pt>
                <c:pt idx="23">
                  <c:v>172.19969500000005</c:v>
                </c:pt>
                <c:pt idx="24">
                  <c:v>172.36758399999999</c:v>
                </c:pt>
                <c:pt idx="25">
                  <c:v>176.47390800000002</c:v>
                </c:pt>
                <c:pt idx="26">
                  <c:v>179.57161400000001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'Wykresy - 2'!$A$49</c:f>
              <c:strCache>
                <c:ptCount val="1"/>
                <c:pt idx="0">
                  <c:v>2017-02-04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none"/>
          </c:marker>
          <c:cat>
            <c:numRef>
              <c:f>'Wykresy - 2'!$C$45:$AC$45</c:f>
              <c:numCache>
                <c:formatCode>General</c:formatCode>
                <c:ptCount val="27"/>
                <c:pt idx="0" formatCode="0">
                  <c:v>4</c:v>
                </c:pt>
                <c:pt idx="1">
                  <c:v>5</c:v>
                </c:pt>
                <c:pt idx="2" formatCode="0">
                  <c:v>6</c:v>
                </c:pt>
                <c:pt idx="3" formatCode="0">
                  <c:v>7</c:v>
                </c:pt>
                <c:pt idx="4" formatCode="0">
                  <c:v>8</c:v>
                </c:pt>
                <c:pt idx="5">
                  <c:v>9</c:v>
                </c:pt>
                <c:pt idx="6" formatCode="0">
                  <c:v>10</c:v>
                </c:pt>
                <c:pt idx="7">
                  <c:v>11</c:v>
                </c:pt>
                <c:pt idx="8" formatCode="0">
                  <c:v>12</c:v>
                </c:pt>
                <c:pt idx="9">
                  <c:v>13</c:v>
                </c:pt>
                <c:pt idx="10" formatCode="0">
                  <c:v>14</c:v>
                </c:pt>
                <c:pt idx="11">
                  <c:v>15</c:v>
                </c:pt>
                <c:pt idx="12" formatCode="0">
                  <c:v>16</c:v>
                </c:pt>
                <c:pt idx="13">
                  <c:v>17</c:v>
                </c:pt>
                <c:pt idx="14" formatCode="0">
                  <c:v>18</c:v>
                </c:pt>
                <c:pt idx="15">
                  <c:v>19</c:v>
                </c:pt>
                <c:pt idx="16" formatCode="0">
                  <c:v>20</c:v>
                </c:pt>
                <c:pt idx="17">
                  <c:v>21</c:v>
                </c:pt>
                <c:pt idx="18" formatCode="0">
                  <c:v>22</c:v>
                </c:pt>
                <c:pt idx="19">
                  <c:v>23</c:v>
                </c:pt>
                <c:pt idx="20" formatCode="0">
                  <c:v>24</c:v>
                </c:pt>
                <c:pt idx="21">
                  <c:v>1</c:v>
                </c:pt>
                <c:pt idx="22" formatCode="0">
                  <c:v>2</c:v>
                </c:pt>
                <c:pt idx="23">
                  <c:v>3</c:v>
                </c:pt>
                <c:pt idx="24" formatCode="0">
                  <c:v>4</c:v>
                </c:pt>
                <c:pt idx="25">
                  <c:v>5</c:v>
                </c:pt>
                <c:pt idx="26" formatCode="0">
                  <c:v>6</c:v>
                </c:pt>
              </c:numCache>
            </c:numRef>
          </c:cat>
          <c:val>
            <c:numRef>
              <c:f>'Wykresy - 2'!$C$49:$AC$49</c:f>
              <c:numCache>
                <c:formatCode>0</c:formatCode>
                <c:ptCount val="27"/>
                <c:pt idx="0">
                  <c:v>161.63872999999998</c:v>
                </c:pt>
                <c:pt idx="1">
                  <c:v>163.75022300000001</c:v>
                </c:pt>
                <c:pt idx="2">
                  <c:v>169.08536400000006</c:v>
                </c:pt>
                <c:pt idx="3">
                  <c:v>129.32279600000001</c:v>
                </c:pt>
                <c:pt idx="4">
                  <c:v>131.93843099999998</c:v>
                </c:pt>
                <c:pt idx="5">
                  <c:v>132.60688300000001</c:v>
                </c:pt>
                <c:pt idx="6">
                  <c:v>133.62497300000001</c:v>
                </c:pt>
                <c:pt idx="7">
                  <c:v>135.417914</c:v>
                </c:pt>
                <c:pt idx="8">
                  <c:v>136.82815600000001</c:v>
                </c:pt>
                <c:pt idx="9">
                  <c:v>138.86526299999997</c:v>
                </c:pt>
                <c:pt idx="10">
                  <c:v>136.06222999999994</c:v>
                </c:pt>
                <c:pt idx="11">
                  <c:v>133.67472799999999</c:v>
                </c:pt>
                <c:pt idx="12">
                  <c:v>134.93090800000002</c:v>
                </c:pt>
                <c:pt idx="13">
                  <c:v>135.03663599999996</c:v>
                </c:pt>
                <c:pt idx="14">
                  <c:v>135.88851900000003</c:v>
                </c:pt>
                <c:pt idx="15">
                  <c:v>135.55403000000001</c:v>
                </c:pt>
                <c:pt idx="16">
                  <c:v>135.26834900000009</c:v>
                </c:pt>
                <c:pt idx="17">
                  <c:v>138.25575100000006</c:v>
                </c:pt>
                <c:pt idx="18">
                  <c:v>137.89493400000001</c:v>
                </c:pt>
                <c:pt idx="19">
                  <c:v>136.81424099999998</c:v>
                </c:pt>
                <c:pt idx="20">
                  <c:v>137.276839</c:v>
                </c:pt>
                <c:pt idx="21">
                  <c:v>138.350413</c:v>
                </c:pt>
                <c:pt idx="22">
                  <c:v>139.514678</c:v>
                </c:pt>
                <c:pt idx="23">
                  <c:v>139.74819999999997</c:v>
                </c:pt>
                <c:pt idx="24">
                  <c:v>138.60707500000007</c:v>
                </c:pt>
                <c:pt idx="25">
                  <c:v>141.36404899999997</c:v>
                </c:pt>
                <c:pt idx="26">
                  <c:v>140.354274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'Wykresy - 2'!$A$50</c:f>
              <c:strCache>
                <c:ptCount val="1"/>
                <c:pt idx="0">
                  <c:v>średnia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'Wykresy - 2'!$C$45:$AC$45</c:f>
              <c:numCache>
                <c:formatCode>General</c:formatCode>
                <c:ptCount val="27"/>
                <c:pt idx="0" formatCode="0">
                  <c:v>4</c:v>
                </c:pt>
                <c:pt idx="1">
                  <c:v>5</c:v>
                </c:pt>
                <c:pt idx="2" formatCode="0">
                  <c:v>6</c:v>
                </c:pt>
                <c:pt idx="3" formatCode="0">
                  <c:v>7</c:v>
                </c:pt>
                <c:pt idx="4" formatCode="0">
                  <c:v>8</c:v>
                </c:pt>
                <c:pt idx="5">
                  <c:v>9</c:v>
                </c:pt>
                <c:pt idx="6" formatCode="0">
                  <c:v>10</c:v>
                </c:pt>
                <c:pt idx="7">
                  <c:v>11</c:v>
                </c:pt>
                <c:pt idx="8" formatCode="0">
                  <c:v>12</c:v>
                </c:pt>
                <c:pt idx="9">
                  <c:v>13</c:v>
                </c:pt>
                <c:pt idx="10" formatCode="0">
                  <c:v>14</c:v>
                </c:pt>
                <c:pt idx="11">
                  <c:v>15</c:v>
                </c:pt>
                <c:pt idx="12" formatCode="0">
                  <c:v>16</c:v>
                </c:pt>
                <c:pt idx="13">
                  <c:v>17</c:v>
                </c:pt>
                <c:pt idx="14" formatCode="0">
                  <c:v>18</c:v>
                </c:pt>
                <c:pt idx="15">
                  <c:v>19</c:v>
                </c:pt>
                <c:pt idx="16" formatCode="0">
                  <c:v>20</c:v>
                </c:pt>
                <c:pt idx="17">
                  <c:v>21</c:v>
                </c:pt>
                <c:pt idx="18" formatCode="0">
                  <c:v>22</c:v>
                </c:pt>
                <c:pt idx="19">
                  <c:v>23</c:v>
                </c:pt>
                <c:pt idx="20" formatCode="0">
                  <c:v>24</c:v>
                </c:pt>
                <c:pt idx="21">
                  <c:v>1</c:v>
                </c:pt>
                <c:pt idx="22" formatCode="0">
                  <c:v>2</c:v>
                </c:pt>
                <c:pt idx="23">
                  <c:v>3</c:v>
                </c:pt>
                <c:pt idx="24" formatCode="0">
                  <c:v>4</c:v>
                </c:pt>
                <c:pt idx="25">
                  <c:v>5</c:v>
                </c:pt>
                <c:pt idx="26" formatCode="0">
                  <c:v>6</c:v>
                </c:pt>
              </c:numCache>
            </c:numRef>
          </c:cat>
          <c:val>
            <c:numRef>
              <c:f>'Wykresy - 2'!$C$50:$AC$50</c:f>
              <c:numCache>
                <c:formatCode>0</c:formatCode>
                <c:ptCount val="27"/>
                <c:pt idx="0">
                  <c:v>190.07508600000006</c:v>
                </c:pt>
                <c:pt idx="1">
                  <c:v>192.37764900000008</c:v>
                </c:pt>
                <c:pt idx="2">
                  <c:v>192.32435599999999</c:v>
                </c:pt>
                <c:pt idx="3">
                  <c:v>176.25368900000001</c:v>
                </c:pt>
                <c:pt idx="4">
                  <c:v>177.48544649999997</c:v>
                </c:pt>
                <c:pt idx="5">
                  <c:v>177.88823499999998</c:v>
                </c:pt>
                <c:pt idx="6">
                  <c:v>183.00576149999998</c:v>
                </c:pt>
                <c:pt idx="7">
                  <c:v>185.22534899999994</c:v>
                </c:pt>
                <c:pt idx="8">
                  <c:v>186.23853299999996</c:v>
                </c:pt>
                <c:pt idx="9">
                  <c:v>188.82794999999999</c:v>
                </c:pt>
                <c:pt idx="10">
                  <c:v>186.37002199999995</c:v>
                </c:pt>
                <c:pt idx="11">
                  <c:v>184.60963100000004</c:v>
                </c:pt>
                <c:pt idx="12">
                  <c:v>183.64011600000003</c:v>
                </c:pt>
                <c:pt idx="13">
                  <c:v>178.58531449999998</c:v>
                </c:pt>
                <c:pt idx="14">
                  <c:v>177.11325499999998</c:v>
                </c:pt>
                <c:pt idx="15">
                  <c:v>175.28109550000005</c:v>
                </c:pt>
                <c:pt idx="16">
                  <c:v>171.86399649999998</c:v>
                </c:pt>
                <c:pt idx="17">
                  <c:v>172.79724649999997</c:v>
                </c:pt>
                <c:pt idx="18">
                  <c:v>175.90540049999996</c:v>
                </c:pt>
                <c:pt idx="19">
                  <c:v>175.29705649999997</c:v>
                </c:pt>
                <c:pt idx="20">
                  <c:v>177.43637199999995</c:v>
                </c:pt>
                <c:pt idx="21">
                  <c:v>178.12746499999997</c:v>
                </c:pt>
                <c:pt idx="22">
                  <c:v>178.79929649999997</c:v>
                </c:pt>
                <c:pt idx="23">
                  <c:v>178.75233000000003</c:v>
                </c:pt>
                <c:pt idx="24">
                  <c:v>179.64482349999997</c:v>
                </c:pt>
                <c:pt idx="25">
                  <c:v>181.8283615</c:v>
                </c:pt>
                <c:pt idx="26">
                  <c:v>182.38383199999998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6384432"/>
        <c:axId val="316384992"/>
      </c:lineChart>
      <c:catAx>
        <c:axId val="316384432"/>
        <c:scaling>
          <c:orientation val="minMax"/>
        </c:scaling>
        <c:delete val="0"/>
        <c:axPos val="b"/>
        <c:majorGridlines>
          <c:spPr>
            <a:ln w="3175">
              <a:solidFill>
                <a:srgbClr val="00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pl-PL"/>
                  <a:t>czas [h]</a:t>
                </a:r>
              </a:p>
            </c:rich>
          </c:tx>
          <c:layout>
            <c:manualLayout>
              <c:xMode val="edge"/>
              <c:yMode val="edge"/>
              <c:x val="0.95160983431092239"/>
              <c:y val="0.902629764093859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pl-PL"/>
          </a:p>
        </c:txPr>
        <c:crossAx val="31638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6384992"/>
        <c:scaling>
          <c:orientation val="minMax"/>
          <c:max val="204"/>
          <c:min val="157"/>
        </c:scaling>
        <c:delete val="0"/>
        <c:axPos val="l"/>
        <c:majorGridlines>
          <c:spPr>
            <a:ln w="3175">
              <a:solidFill>
                <a:srgbClr val="00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pl-PL"/>
                  <a:t>Zapotrzebowanie [MWh]</a:t>
                </a:r>
              </a:p>
            </c:rich>
          </c:tx>
          <c:layout>
            <c:manualLayout>
              <c:xMode val="edge"/>
              <c:yMode val="edge"/>
              <c:x val="1.1856440871582583E-2"/>
              <c:y val="0.423372970594244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pl-PL"/>
          </a:p>
        </c:txPr>
        <c:crossAx val="31638443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540983606557377E-2"/>
          <c:y val="0.96615009865656776"/>
          <c:w val="0.91393442622950816"/>
          <c:h val="2.9619181946403339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l-P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098403959403782E-2"/>
          <c:y val="3.6082519635097399E-2"/>
          <c:w val="0.92623024960797384"/>
          <c:h val="0.81701133745184829"/>
        </c:manualLayout>
      </c:layout>
      <c:lineChart>
        <c:grouping val="standard"/>
        <c:varyColors val="0"/>
        <c:ser>
          <c:idx val="0"/>
          <c:order val="0"/>
          <c:tx>
            <c:strRef>
              <c:f>'Delta 2 dni - 9'!$B$30</c:f>
              <c:strCache>
                <c:ptCount val="1"/>
                <c:pt idx="0">
                  <c:v>2017-02-13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24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</c:numLit>
          </c:cat>
          <c:val>
            <c:numRef>
              <c:f>'Delta 2 dni - 9'!$F$33:$F$56</c:f>
              <c:numCache>
                <c:formatCode>0</c:formatCode>
                <c:ptCount val="24"/>
              </c:numCache>
            </c:numRef>
          </c:val>
          <c:smooth val="0"/>
        </c:ser>
        <c:ser>
          <c:idx val="1"/>
          <c:order val="1"/>
          <c:tx>
            <c:strRef>
              <c:f>'Delta 2 dni - 9'!$H$30:$I$30</c:f>
              <c:strCache>
                <c:ptCount val="1"/>
                <c:pt idx="0">
                  <c:v>2017-02-12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'Delta 2 dni - 9'!$L$33:$L$56</c:f>
              <c:numCache>
                <c:formatCode>0</c:formatCode>
                <c:ptCount val="2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6388912"/>
        <c:axId val="316389472"/>
      </c:lineChart>
      <c:catAx>
        <c:axId val="316388912"/>
        <c:scaling>
          <c:orientation val="minMax"/>
        </c:scaling>
        <c:delete val="0"/>
        <c:axPos val="b"/>
        <c:majorGridlines>
          <c:spPr>
            <a:ln w="3175">
              <a:solidFill>
                <a:srgbClr val="00FFFF"/>
              </a:solidFill>
              <a:prstDash val="solid"/>
            </a:ln>
          </c:spPr>
        </c:majorGridlines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pl-PL"/>
          </a:p>
        </c:txPr>
        <c:crossAx val="316389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6389472"/>
        <c:scaling>
          <c:orientation val="minMax"/>
          <c:max val="20"/>
          <c:min val="-20"/>
        </c:scaling>
        <c:delete val="0"/>
        <c:axPos val="l"/>
        <c:majorGridlines>
          <c:spPr>
            <a:ln w="3175">
              <a:solidFill>
                <a:srgbClr val="00FFFF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pl-PL"/>
          </a:p>
        </c:txPr>
        <c:crossAx val="31638891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590198356352997"/>
          <c:y val="0.92268149471006844"/>
          <c:w val="0.32295116389139877"/>
          <c:h val="6.9587628865979356E-2"/>
        </c:manualLayout>
      </c:layout>
      <c:overlay val="0"/>
      <c:spPr>
        <a:ln w="25400" cmpd="sng">
          <a:solidFill>
            <a:srgbClr val="000000"/>
          </a:solidFill>
        </a:ln>
      </c:spPr>
      <c:txPr>
        <a:bodyPr/>
        <a:lstStyle/>
        <a:p>
          <a:pPr>
            <a:defRPr lang="pl-PL" sz="800" b="0" i="0" u="none" strike="noStrike" kern="1200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l-P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2258064516129E-2"/>
          <c:y val="3.6082519635097399E-2"/>
          <c:w val="0.92741935483870963"/>
          <c:h val="0.8178704981464946"/>
        </c:manualLayout>
      </c:layout>
      <c:lineChart>
        <c:grouping val="standard"/>
        <c:varyColors val="0"/>
        <c:ser>
          <c:idx val="0"/>
          <c:order val="0"/>
          <c:tx>
            <c:strRef>
              <c:f>'Delta 2 dni - 9'!$N$30</c:f>
              <c:strCache>
                <c:ptCount val="1"/>
                <c:pt idx="0">
                  <c:v>2017-02-18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24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</c:numLit>
          </c:cat>
          <c:val>
            <c:numRef>
              <c:f>'Delta 2 dni - 9'!$R$33:$R$56</c:f>
              <c:numCache>
                <c:formatCode>0</c:formatCode>
                <c:ptCount val="24"/>
              </c:numCache>
            </c:numRef>
          </c:val>
          <c:smooth val="0"/>
        </c:ser>
        <c:ser>
          <c:idx val="1"/>
          <c:order val="1"/>
          <c:tx>
            <c:strRef>
              <c:f>'Delta 2 dni - 9'!$T$30</c:f>
              <c:strCache>
                <c:ptCount val="1"/>
                <c:pt idx="0">
                  <c:v>2017-02-16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24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</c:numLit>
          </c:cat>
          <c:val>
            <c:numRef>
              <c:f>'Delta 2 dni - 9'!$X$33:$X$56</c:f>
              <c:numCache>
                <c:formatCode>0</c:formatCode>
                <c:ptCount val="2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558432"/>
        <c:axId val="315558992"/>
      </c:lineChart>
      <c:catAx>
        <c:axId val="315558432"/>
        <c:scaling>
          <c:orientation val="minMax"/>
        </c:scaling>
        <c:delete val="0"/>
        <c:axPos val="b"/>
        <c:majorGridlines>
          <c:spPr>
            <a:ln w="3175">
              <a:solidFill>
                <a:srgbClr val="00FFFF"/>
              </a:solidFill>
              <a:prstDash val="solid"/>
            </a:ln>
          </c:spPr>
        </c:majorGridlines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pl-PL"/>
          </a:p>
        </c:txPr>
        <c:crossAx val="315558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558992"/>
        <c:scaling>
          <c:orientation val="minMax"/>
          <c:max val="20"/>
          <c:min val="-20"/>
        </c:scaling>
        <c:delete val="0"/>
        <c:axPos val="l"/>
        <c:majorGridlines>
          <c:spPr>
            <a:ln w="3175">
              <a:solidFill>
                <a:srgbClr val="00FFFF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pl-PL"/>
          </a:p>
        </c:txPr>
        <c:crossAx val="31555843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161290322580647"/>
          <c:y val="0.92268149471006844"/>
          <c:w val="0.33064516129032262"/>
          <c:h val="6.9587628865979356E-2"/>
        </c:manualLayout>
      </c:layout>
      <c:overlay val="0"/>
      <c:spPr>
        <a:ln w="25400" cmpd="sng">
          <a:solidFill>
            <a:srgbClr val="000000"/>
          </a:solidFill>
        </a:ln>
      </c:spPr>
      <c:txPr>
        <a:bodyPr/>
        <a:lstStyle/>
        <a:p>
          <a:pPr>
            <a:defRPr lang="pl-PL" sz="800" b="0" i="0" u="none" strike="noStrike" kern="1200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l-P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11.emf"/><Relationship Id="rId12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13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image" Target="../media/image21.emf"/><Relationship Id="rId7" Type="http://schemas.openxmlformats.org/officeDocument/2006/relationships/image" Target="../media/image16.emf"/><Relationship Id="rId2" Type="http://schemas.openxmlformats.org/officeDocument/2006/relationships/image" Target="../media/image22.emf"/><Relationship Id="rId1" Type="http://schemas.openxmlformats.org/officeDocument/2006/relationships/image" Target="../media/image20.emf"/><Relationship Id="rId6" Type="http://schemas.openxmlformats.org/officeDocument/2006/relationships/image" Target="../media/image17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38100</xdr:rowOff>
        </xdr:from>
        <xdr:to>
          <xdr:col>25</xdr:col>
          <xdr:colOff>47625</xdr:colOff>
          <xdr:row>7</xdr:row>
          <xdr:rowOff>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Prognoza n-1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</xdr:row>
          <xdr:rowOff>0</xdr:rowOff>
        </xdr:from>
        <xdr:to>
          <xdr:col>17</xdr:col>
          <xdr:colOff>285750</xdr:colOff>
          <xdr:row>5</xdr:row>
          <xdr:rowOff>28575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114300</xdr:rowOff>
        </xdr:from>
        <xdr:to>
          <xdr:col>8</xdr:col>
          <xdr:colOff>438150</xdr:colOff>
          <xdr:row>6</xdr:row>
          <xdr:rowOff>76200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Doba prognozy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38100</xdr:colOff>
      <xdr:row>36</xdr:row>
      <xdr:rowOff>85725</xdr:rowOff>
    </xdr:from>
    <xdr:to>
      <xdr:col>3</xdr:col>
      <xdr:colOff>146538</xdr:colOff>
      <xdr:row>37</xdr:row>
      <xdr:rowOff>139944</xdr:rowOff>
    </xdr:to>
    <xdr:sp macro="" textlink="">
      <xdr:nvSpPr>
        <xdr:cNvPr id="6" name="DTPicker1" hidden="1">
          <a:extLst>
            <a:ext uri="{63B3BB69-23CF-44E3-9099-C40C66FF867C}">
              <a14:compatExt xmlns:a14="http://schemas.microsoft.com/office/drawing/2010/main" spid="_x0000_s102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209550</xdr:colOff>
      <xdr:row>36</xdr:row>
      <xdr:rowOff>104775</xdr:rowOff>
    </xdr:from>
    <xdr:to>
      <xdr:col>8</xdr:col>
      <xdr:colOff>337770</xdr:colOff>
      <xdr:row>37</xdr:row>
      <xdr:rowOff>73269</xdr:rowOff>
    </xdr:to>
    <xdr:sp macro="" textlink="">
      <xdr:nvSpPr>
        <xdr:cNvPr id="7" name="DTPicker2" hidden="1">
          <a:extLst>
            <a:ext uri="{63B3BB69-23CF-44E3-9099-C40C66FF867C}">
              <a14:compatExt xmlns:a14="http://schemas.microsoft.com/office/drawing/2010/main" spid="_x0000_s103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200025</xdr:colOff>
      <xdr:row>36</xdr:row>
      <xdr:rowOff>114300</xdr:rowOff>
    </xdr:from>
    <xdr:to>
      <xdr:col>13</xdr:col>
      <xdr:colOff>324583</xdr:colOff>
      <xdr:row>37</xdr:row>
      <xdr:rowOff>139944</xdr:rowOff>
    </xdr:to>
    <xdr:sp macro="" textlink="">
      <xdr:nvSpPr>
        <xdr:cNvPr id="8" name="DTPicker3" hidden="1">
          <a:extLst>
            <a:ext uri="{63B3BB69-23CF-44E3-9099-C40C66FF867C}">
              <a14:compatExt xmlns:a14="http://schemas.microsoft.com/office/drawing/2010/main" spid="_x0000_s103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171450</xdr:colOff>
      <xdr:row>36</xdr:row>
      <xdr:rowOff>123825</xdr:rowOff>
    </xdr:from>
    <xdr:to>
      <xdr:col>18</xdr:col>
      <xdr:colOff>328980</xdr:colOff>
      <xdr:row>37</xdr:row>
      <xdr:rowOff>139944</xdr:rowOff>
    </xdr:to>
    <xdr:sp macro="" textlink="">
      <xdr:nvSpPr>
        <xdr:cNvPr id="9" name="DTPicker4" hidden="1">
          <a:extLst>
            <a:ext uri="{63B3BB69-23CF-44E3-9099-C40C66FF867C}">
              <a14:compatExt xmlns:a14="http://schemas.microsoft.com/office/drawing/2010/main" spid="_x0000_s103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8</xdr:row>
          <xdr:rowOff>0</xdr:rowOff>
        </xdr:from>
        <xdr:to>
          <xdr:col>13</xdr:col>
          <xdr:colOff>323850</xdr:colOff>
          <xdr:row>10</xdr:row>
          <xdr:rowOff>47625</xdr:rowOff>
        </xdr:to>
        <xdr:sp macro="" textlink="">
          <xdr:nvSpPr>
            <xdr:cNvPr id="1040" name="CommandButton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66675</xdr:colOff>
      <xdr:row>69</xdr:row>
      <xdr:rowOff>0</xdr:rowOff>
    </xdr:from>
    <xdr:to>
      <xdr:col>3</xdr:col>
      <xdr:colOff>175113</xdr:colOff>
      <xdr:row>70</xdr:row>
      <xdr:rowOff>16852</xdr:rowOff>
    </xdr:to>
    <xdr:sp macro="" textlink="">
      <xdr:nvSpPr>
        <xdr:cNvPr id="19" name="DTPicker5" hidden="1">
          <a:extLst>
            <a:ext uri="{63B3BB69-23CF-44E3-9099-C40C66FF867C}">
              <a14:compatExt xmlns:a14="http://schemas.microsoft.com/office/drawing/2010/main" spid="_x0000_s104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171450</xdr:colOff>
      <xdr:row>69</xdr:row>
      <xdr:rowOff>0</xdr:rowOff>
    </xdr:from>
    <xdr:to>
      <xdr:col>8</xdr:col>
      <xdr:colOff>280620</xdr:colOff>
      <xdr:row>70</xdr:row>
      <xdr:rowOff>45427</xdr:rowOff>
    </xdr:to>
    <xdr:sp macro="" textlink="">
      <xdr:nvSpPr>
        <xdr:cNvPr id="20" name="DTPicker6" hidden="1">
          <a:extLst>
            <a:ext uri="{63B3BB69-23CF-44E3-9099-C40C66FF867C}">
              <a14:compatExt xmlns:a14="http://schemas.microsoft.com/office/drawing/2010/main" spid="_x0000_s104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171450</xdr:colOff>
      <xdr:row>69</xdr:row>
      <xdr:rowOff>0</xdr:rowOff>
    </xdr:from>
    <xdr:to>
      <xdr:col>13</xdr:col>
      <xdr:colOff>276958</xdr:colOff>
      <xdr:row>70</xdr:row>
      <xdr:rowOff>45427</xdr:rowOff>
    </xdr:to>
    <xdr:sp macro="" textlink="">
      <xdr:nvSpPr>
        <xdr:cNvPr id="21" name="DTPicker7" hidden="1">
          <a:extLst>
            <a:ext uri="{63B3BB69-23CF-44E3-9099-C40C66FF867C}">
              <a14:compatExt xmlns:a14="http://schemas.microsoft.com/office/drawing/2010/main" spid="_x0000_s104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104775</xdr:colOff>
      <xdr:row>69</xdr:row>
      <xdr:rowOff>0</xdr:rowOff>
    </xdr:from>
    <xdr:to>
      <xdr:col>18</xdr:col>
      <xdr:colOff>207353</xdr:colOff>
      <xdr:row>70</xdr:row>
      <xdr:rowOff>16852</xdr:rowOff>
    </xdr:to>
    <xdr:sp macro="" textlink="">
      <xdr:nvSpPr>
        <xdr:cNvPr id="22" name="DTPicker8" hidden="1">
          <a:extLst>
            <a:ext uri="{63B3BB69-23CF-44E3-9099-C40C66FF867C}">
              <a14:compatExt xmlns:a14="http://schemas.microsoft.com/office/drawing/2010/main" spid="_x0000_s104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</xdr:row>
          <xdr:rowOff>0</xdr:rowOff>
        </xdr:from>
        <xdr:to>
          <xdr:col>8</xdr:col>
          <xdr:colOff>428625</xdr:colOff>
          <xdr:row>6</xdr:row>
          <xdr:rowOff>57150</xdr:rowOff>
        </xdr:to>
        <xdr:sp macro="" textlink="">
          <xdr:nvSpPr>
            <xdr:cNvPr id="1049" name="SpinButton1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302173</xdr:colOff>
      <xdr:row>0</xdr:row>
      <xdr:rowOff>45848</xdr:rowOff>
    </xdr:from>
    <xdr:to>
      <xdr:col>25</xdr:col>
      <xdr:colOff>36635</xdr:colOff>
      <xdr:row>6</xdr:row>
      <xdr:rowOff>146538</xdr:rowOff>
    </xdr:to>
    <xdr:pic>
      <xdr:nvPicPr>
        <xdr:cNvPr id="3" name="Obraz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1897" y="45848"/>
          <a:ext cx="890600" cy="8889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21</xdr:col>
          <xdr:colOff>13327</xdr:colOff>
          <xdr:row>39</xdr:row>
          <xdr:rowOff>22327</xdr:rowOff>
        </xdr:to>
        <xdr:grpSp>
          <xdr:nvGrpSpPr>
            <xdr:cNvPr id="2" name="Grupa 1"/>
            <xdr:cNvGrpSpPr/>
          </xdr:nvGrpSpPr>
          <xdr:grpSpPr>
            <a:xfrm>
              <a:off x="1064172" y="5189483"/>
              <a:ext cx="8342776" cy="403327"/>
              <a:chOff x="1069731" y="5253058"/>
              <a:chExt cx="8374673" cy="403327"/>
            </a:xfrm>
          </xdr:grpSpPr>
          <xdr:sp macro="" textlink="">
            <xdr:nvSpPr>
              <xdr:cNvPr id="1033" name="CommandButton3" hidden="1">
                <a:extLst>
                  <a:ext uri="{63B3BB69-23CF-44E3-9099-C40C66FF867C}">
                    <a14:compatExt spid="_x0000_s1033"/>
                  </a:ext>
                </a:extLst>
              </xdr:cNvPr>
              <xdr:cNvSpPr/>
            </xdr:nvSpPr>
            <xdr:spPr bwMode="auto">
              <a:xfrm>
                <a:off x="1426442" y="5253058"/>
                <a:ext cx="1116000" cy="396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4" name="CommandButton4" hidden="1">
                <a:extLst>
                  <a:ext uri="{63B3BB69-23CF-44E3-9099-C40C66FF867C}">
                    <a14:compatExt spid="_x0000_s1034"/>
                  </a:ext>
                </a:extLst>
              </xdr:cNvPr>
              <xdr:cNvSpPr/>
            </xdr:nvSpPr>
            <xdr:spPr bwMode="auto">
              <a:xfrm>
                <a:off x="3727096" y="5253058"/>
                <a:ext cx="1116000" cy="396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5" name="CommandButton5" hidden="1">
                <a:extLst>
                  <a:ext uri="{63B3BB69-23CF-44E3-9099-C40C66FF867C}">
                    <a14:compatExt spid="_x0000_s1035"/>
                  </a:ext>
                </a:extLst>
              </xdr:cNvPr>
              <xdr:cNvSpPr/>
            </xdr:nvSpPr>
            <xdr:spPr bwMode="auto">
              <a:xfrm>
                <a:off x="6027750" y="5253058"/>
                <a:ext cx="1116000" cy="396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1" name="SpinButton2" hidden="1">
                <a:extLst>
                  <a:ext uri="{63B3BB69-23CF-44E3-9099-C40C66FF867C}">
                    <a14:compatExt spid="_x0000_s1051"/>
                  </a:ext>
                </a:extLst>
              </xdr:cNvPr>
              <xdr:cNvSpPr/>
            </xdr:nvSpPr>
            <xdr:spPr bwMode="auto">
              <a:xfrm>
                <a:off x="1069731" y="5253058"/>
                <a:ext cx="360000" cy="396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2" name="SpinButton3" hidden="1">
                <a:extLst>
                  <a:ext uri="{63B3BB69-23CF-44E3-9099-C40C66FF867C}">
                    <a14:compatExt spid="_x0000_s1052"/>
                  </a:ext>
                </a:extLst>
              </xdr:cNvPr>
              <xdr:cNvSpPr/>
            </xdr:nvSpPr>
            <xdr:spPr bwMode="auto">
              <a:xfrm>
                <a:off x="3370385" y="5253058"/>
                <a:ext cx="360000" cy="396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3" name="SpinButton4" hidden="1">
                <a:extLst>
                  <a:ext uri="{63B3BB69-23CF-44E3-9099-C40C66FF867C}">
                    <a14:compatExt spid="_x0000_s1053"/>
                  </a:ext>
                </a:extLst>
              </xdr:cNvPr>
              <xdr:cNvSpPr/>
            </xdr:nvSpPr>
            <xdr:spPr bwMode="auto">
              <a:xfrm>
                <a:off x="5671038" y="5260385"/>
                <a:ext cx="360000" cy="396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4" name="SpinButton5" hidden="1">
                <a:extLst>
                  <a:ext uri="{63B3BB69-23CF-44E3-9099-C40C66FF867C}">
                    <a14:compatExt spid="_x0000_s1054"/>
                  </a:ext>
                </a:extLst>
              </xdr:cNvPr>
              <xdr:cNvSpPr/>
            </xdr:nvSpPr>
            <xdr:spPr bwMode="auto">
              <a:xfrm>
                <a:off x="7971692" y="5253058"/>
                <a:ext cx="360000" cy="396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60" name="CommandButton6" hidden="1">
                <a:extLst>
                  <a:ext uri="{63B3BB69-23CF-44E3-9099-C40C66FF867C}">
                    <a14:compatExt spid="_x0000_s1060"/>
                  </a:ext>
                </a:extLst>
              </xdr:cNvPr>
              <xdr:cNvSpPr/>
            </xdr:nvSpPr>
            <xdr:spPr bwMode="auto">
              <a:xfrm>
                <a:off x="8328404" y="5253058"/>
                <a:ext cx="1116000" cy="396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oneCellAnchor>
    <xdr:from>
      <xdr:col>1</xdr:col>
      <xdr:colOff>38100</xdr:colOff>
      <xdr:row>69</xdr:row>
      <xdr:rowOff>0</xdr:rowOff>
    </xdr:from>
    <xdr:ext cx="936381" cy="244719"/>
    <xdr:sp macro="" textlink="">
      <xdr:nvSpPr>
        <xdr:cNvPr id="38" name="DTPicker1" hidden="1">
          <a:extLst>
            <a:ext uri="{63B3BB69-23CF-44E3-9099-C40C66FF867C}">
              <a14:compatExt xmlns:a14="http://schemas.microsoft.com/office/drawing/2010/main" spid="_x0000_s1029"/>
            </a:ext>
          </a:extLst>
        </xdr:cNvPr>
        <xdr:cNvSpPr/>
      </xdr:nvSpPr>
      <xdr:spPr bwMode="auto">
        <a:xfrm>
          <a:off x="279888" y="5331802"/>
          <a:ext cx="936381" cy="244719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209550</xdr:colOff>
      <xdr:row>69</xdr:row>
      <xdr:rowOff>0</xdr:rowOff>
    </xdr:from>
    <xdr:ext cx="956163" cy="158994"/>
    <xdr:sp macro="" textlink="">
      <xdr:nvSpPr>
        <xdr:cNvPr id="39" name="DTPicker2" hidden="1">
          <a:extLst>
            <a:ext uri="{63B3BB69-23CF-44E3-9099-C40C66FF867C}">
              <a14:compatExt xmlns:a14="http://schemas.microsoft.com/office/drawing/2010/main" spid="_x0000_s1030"/>
            </a:ext>
          </a:extLst>
        </xdr:cNvPr>
        <xdr:cNvSpPr/>
      </xdr:nvSpPr>
      <xdr:spPr bwMode="auto">
        <a:xfrm>
          <a:off x="2664069" y="5350852"/>
          <a:ext cx="956163" cy="15899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200025</xdr:colOff>
      <xdr:row>69</xdr:row>
      <xdr:rowOff>0</xdr:rowOff>
    </xdr:from>
    <xdr:ext cx="952500" cy="216144"/>
    <xdr:sp macro="" textlink="">
      <xdr:nvSpPr>
        <xdr:cNvPr id="40" name="DTPicker3" hidden="1">
          <a:extLst>
            <a:ext uri="{63B3BB69-23CF-44E3-9099-C40C66FF867C}">
              <a14:compatExt xmlns:a14="http://schemas.microsoft.com/office/drawing/2010/main" spid="_x0000_s1031"/>
            </a:ext>
          </a:extLst>
        </xdr:cNvPr>
        <xdr:cNvSpPr/>
      </xdr:nvSpPr>
      <xdr:spPr bwMode="auto">
        <a:xfrm>
          <a:off x="5138371" y="5360377"/>
          <a:ext cx="952500" cy="2161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171450</xdr:colOff>
      <xdr:row>69</xdr:row>
      <xdr:rowOff>0</xdr:rowOff>
    </xdr:from>
    <xdr:ext cx="985472" cy="206619"/>
    <xdr:sp macro="" textlink="">
      <xdr:nvSpPr>
        <xdr:cNvPr id="41" name="DTPicker4" hidden="1">
          <a:extLst>
            <a:ext uri="{63B3BB69-23CF-44E3-9099-C40C66FF867C}">
              <a14:compatExt xmlns:a14="http://schemas.microsoft.com/office/drawing/2010/main" spid="_x0000_s1032"/>
            </a:ext>
          </a:extLst>
        </xdr:cNvPr>
        <xdr:cNvSpPr/>
      </xdr:nvSpPr>
      <xdr:spPr bwMode="auto">
        <a:xfrm>
          <a:off x="7806104" y="5369902"/>
          <a:ext cx="985472" cy="206619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12</xdr:row>
          <xdr:rowOff>0</xdr:rowOff>
        </xdr:from>
        <xdr:to>
          <xdr:col>25</xdr:col>
          <xdr:colOff>285750</xdr:colOff>
          <xdr:row>15</xdr:row>
          <xdr:rowOff>0</xdr:rowOff>
        </xdr:to>
        <xdr:sp macro="" textlink="">
          <xdr:nvSpPr>
            <xdr:cNvPr id="1061" name="Object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104775</xdr:colOff>
          <xdr:row>21</xdr:row>
          <xdr:rowOff>123825</xdr:rowOff>
        </xdr:from>
        <xdr:to>
          <xdr:col>25</xdr:col>
          <xdr:colOff>257175</xdr:colOff>
          <xdr:row>24</xdr:row>
          <xdr:rowOff>123825</xdr:rowOff>
        </xdr:to>
        <xdr:sp macro="" textlink="">
          <xdr:nvSpPr>
            <xdr:cNvPr id="1062" name="Object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</xdr:row>
          <xdr:rowOff>0</xdr:rowOff>
        </xdr:from>
        <xdr:to>
          <xdr:col>4</xdr:col>
          <xdr:colOff>323850</xdr:colOff>
          <xdr:row>6</xdr:row>
          <xdr:rowOff>0</xdr:rowOff>
        </xdr:to>
        <xdr:sp macro="" textlink="">
          <xdr:nvSpPr>
            <xdr:cNvPr id="1065" name="ComboBox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114300</xdr:rowOff>
        </xdr:from>
        <xdr:to>
          <xdr:col>4</xdr:col>
          <xdr:colOff>381000</xdr:colOff>
          <xdr:row>6</xdr:row>
          <xdr:rowOff>76200</xdr:rowOff>
        </xdr:to>
        <xdr:sp macro="" textlink="">
          <xdr:nvSpPr>
            <xdr:cNvPr id="1066" name="Group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Wybierz obszar pogody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104775</xdr:rowOff>
        </xdr:from>
        <xdr:to>
          <xdr:col>14</xdr:col>
          <xdr:colOff>9525</xdr:colOff>
          <xdr:row>6</xdr:row>
          <xdr:rowOff>66675</xdr:rowOff>
        </xdr:to>
        <xdr:sp macro="" textlink="">
          <xdr:nvSpPr>
            <xdr:cNvPr id="1067" name="Group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Wybierz prognozowanego Klienta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3</xdr:row>
          <xdr:rowOff>9525</xdr:rowOff>
        </xdr:from>
        <xdr:to>
          <xdr:col>13</xdr:col>
          <xdr:colOff>438150</xdr:colOff>
          <xdr:row>6</xdr:row>
          <xdr:rowOff>9525</xdr:rowOff>
        </xdr:to>
        <xdr:sp macro="" textlink="">
          <xdr:nvSpPr>
            <xdr:cNvPr id="1068" name="ComboBox2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180975</xdr:colOff>
          <xdr:row>4</xdr:row>
          <xdr:rowOff>123825</xdr:rowOff>
        </xdr:from>
        <xdr:to>
          <xdr:col>23</xdr:col>
          <xdr:colOff>304800</xdr:colOff>
          <xdr:row>7</xdr:row>
          <xdr:rowOff>0</xdr:rowOff>
        </xdr:to>
        <xdr:sp macro="" textlink="">
          <xdr:nvSpPr>
            <xdr:cNvPr id="1070" name="CommandButton7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0</xdr:colOff>
      <xdr:row>41</xdr:row>
      <xdr:rowOff>142875</xdr:rowOff>
    </xdr:to>
    <xdr:graphicFrame macro="">
      <xdr:nvGraphicFramePr>
        <xdr:cNvPr id="2" name="Wykres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45</xdr:row>
          <xdr:rowOff>66675</xdr:rowOff>
        </xdr:from>
        <xdr:to>
          <xdr:col>1</xdr:col>
          <xdr:colOff>504825</xdr:colOff>
          <xdr:row>46</xdr:row>
          <xdr:rowOff>9525</xdr:rowOff>
        </xdr:to>
        <xdr:sp macro="" textlink="">
          <xdr:nvSpPr>
            <xdr:cNvPr id="2049" name="Check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46</xdr:row>
          <xdr:rowOff>38100</xdr:rowOff>
        </xdr:from>
        <xdr:to>
          <xdr:col>1</xdr:col>
          <xdr:colOff>504825</xdr:colOff>
          <xdr:row>46</xdr:row>
          <xdr:rowOff>228600</xdr:rowOff>
        </xdr:to>
        <xdr:sp macro="" textlink="">
          <xdr:nvSpPr>
            <xdr:cNvPr id="2050" name="CheckBox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47</xdr:row>
          <xdr:rowOff>38100</xdr:rowOff>
        </xdr:from>
        <xdr:to>
          <xdr:col>1</xdr:col>
          <xdr:colOff>466725</xdr:colOff>
          <xdr:row>47</xdr:row>
          <xdr:rowOff>228600</xdr:rowOff>
        </xdr:to>
        <xdr:sp macro="" textlink="">
          <xdr:nvSpPr>
            <xdr:cNvPr id="2051" name="CheckBox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48</xdr:row>
          <xdr:rowOff>28575</xdr:rowOff>
        </xdr:from>
        <xdr:to>
          <xdr:col>1</xdr:col>
          <xdr:colOff>504825</xdr:colOff>
          <xdr:row>48</xdr:row>
          <xdr:rowOff>219075</xdr:rowOff>
        </xdr:to>
        <xdr:sp macro="" textlink="">
          <xdr:nvSpPr>
            <xdr:cNvPr id="2052" name="CheckBox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42</xdr:row>
          <xdr:rowOff>0</xdr:rowOff>
        </xdr:from>
        <xdr:to>
          <xdr:col>20</xdr:col>
          <xdr:colOff>390525</xdr:colOff>
          <xdr:row>44</xdr:row>
          <xdr:rowOff>0</xdr:rowOff>
        </xdr:to>
        <xdr:sp macro="" textlink="">
          <xdr:nvSpPr>
            <xdr:cNvPr id="2054" name="CommandButton2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41</xdr:row>
          <xdr:rowOff>180975</xdr:rowOff>
        </xdr:from>
        <xdr:to>
          <xdr:col>25</xdr:col>
          <xdr:colOff>200025</xdr:colOff>
          <xdr:row>43</xdr:row>
          <xdr:rowOff>190500</xdr:rowOff>
        </xdr:to>
        <xdr:sp macro="" textlink="">
          <xdr:nvSpPr>
            <xdr:cNvPr id="2063" name="CommandButton3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50</xdr:row>
          <xdr:rowOff>19050</xdr:rowOff>
        </xdr:from>
        <xdr:to>
          <xdr:col>5</xdr:col>
          <xdr:colOff>323850</xdr:colOff>
          <xdr:row>51</xdr:row>
          <xdr:rowOff>171450</xdr:rowOff>
        </xdr:to>
        <xdr:sp macro="" textlink="">
          <xdr:nvSpPr>
            <xdr:cNvPr id="2065" name="SpinButton1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50</xdr:row>
          <xdr:rowOff>19050</xdr:rowOff>
        </xdr:from>
        <xdr:to>
          <xdr:col>6</xdr:col>
          <xdr:colOff>333375</xdr:colOff>
          <xdr:row>51</xdr:row>
          <xdr:rowOff>171450</xdr:rowOff>
        </xdr:to>
        <xdr:sp macro="" textlink="">
          <xdr:nvSpPr>
            <xdr:cNvPr id="2066" name="SpinButton2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50</xdr:row>
          <xdr:rowOff>19050</xdr:rowOff>
        </xdr:from>
        <xdr:to>
          <xdr:col>7</xdr:col>
          <xdr:colOff>323850</xdr:colOff>
          <xdr:row>51</xdr:row>
          <xdr:rowOff>171450</xdr:rowOff>
        </xdr:to>
        <xdr:sp macro="" textlink="">
          <xdr:nvSpPr>
            <xdr:cNvPr id="2067" name="SpinButton3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50</xdr:row>
          <xdr:rowOff>19050</xdr:rowOff>
        </xdr:from>
        <xdr:to>
          <xdr:col>8</xdr:col>
          <xdr:colOff>333375</xdr:colOff>
          <xdr:row>51</xdr:row>
          <xdr:rowOff>171450</xdr:rowOff>
        </xdr:to>
        <xdr:sp macro="" textlink="">
          <xdr:nvSpPr>
            <xdr:cNvPr id="2068" name="SpinButton4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50</xdr:row>
          <xdr:rowOff>19050</xdr:rowOff>
        </xdr:from>
        <xdr:to>
          <xdr:col>9</xdr:col>
          <xdr:colOff>342900</xdr:colOff>
          <xdr:row>51</xdr:row>
          <xdr:rowOff>171450</xdr:rowOff>
        </xdr:to>
        <xdr:sp macro="" textlink="">
          <xdr:nvSpPr>
            <xdr:cNvPr id="2069" name="SpinButton5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50</xdr:row>
          <xdr:rowOff>19050</xdr:rowOff>
        </xdr:from>
        <xdr:to>
          <xdr:col>10</xdr:col>
          <xdr:colOff>352425</xdr:colOff>
          <xdr:row>51</xdr:row>
          <xdr:rowOff>171450</xdr:rowOff>
        </xdr:to>
        <xdr:sp macro="" textlink="">
          <xdr:nvSpPr>
            <xdr:cNvPr id="2070" name="SpinButton6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50</xdr:row>
          <xdr:rowOff>19050</xdr:rowOff>
        </xdr:from>
        <xdr:to>
          <xdr:col>11</xdr:col>
          <xdr:colOff>342900</xdr:colOff>
          <xdr:row>51</xdr:row>
          <xdr:rowOff>171450</xdr:rowOff>
        </xdr:to>
        <xdr:sp macro="" textlink="">
          <xdr:nvSpPr>
            <xdr:cNvPr id="2071" name="SpinButton7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50</xdr:row>
          <xdr:rowOff>19050</xdr:rowOff>
        </xdr:from>
        <xdr:to>
          <xdr:col>12</xdr:col>
          <xdr:colOff>352425</xdr:colOff>
          <xdr:row>51</xdr:row>
          <xdr:rowOff>171450</xdr:rowOff>
        </xdr:to>
        <xdr:sp macro="" textlink="">
          <xdr:nvSpPr>
            <xdr:cNvPr id="2072" name="SpinButton8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50</xdr:row>
          <xdr:rowOff>19050</xdr:rowOff>
        </xdr:from>
        <xdr:to>
          <xdr:col>13</xdr:col>
          <xdr:colOff>333375</xdr:colOff>
          <xdr:row>51</xdr:row>
          <xdr:rowOff>171450</xdr:rowOff>
        </xdr:to>
        <xdr:sp macro="" textlink="">
          <xdr:nvSpPr>
            <xdr:cNvPr id="2073" name="SpinButton9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50</xdr:row>
          <xdr:rowOff>19050</xdr:rowOff>
        </xdr:from>
        <xdr:to>
          <xdr:col>14</xdr:col>
          <xdr:colOff>342900</xdr:colOff>
          <xdr:row>51</xdr:row>
          <xdr:rowOff>171450</xdr:rowOff>
        </xdr:to>
        <xdr:sp macro="" textlink="">
          <xdr:nvSpPr>
            <xdr:cNvPr id="2074" name="SpinButton10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50</xdr:row>
          <xdr:rowOff>19050</xdr:rowOff>
        </xdr:from>
        <xdr:to>
          <xdr:col>15</xdr:col>
          <xdr:colOff>333375</xdr:colOff>
          <xdr:row>51</xdr:row>
          <xdr:rowOff>171450</xdr:rowOff>
        </xdr:to>
        <xdr:sp macro="" textlink="">
          <xdr:nvSpPr>
            <xdr:cNvPr id="2075" name="SpinButton11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50</xdr:row>
          <xdr:rowOff>19050</xdr:rowOff>
        </xdr:from>
        <xdr:to>
          <xdr:col>16</xdr:col>
          <xdr:colOff>342900</xdr:colOff>
          <xdr:row>51</xdr:row>
          <xdr:rowOff>171450</xdr:rowOff>
        </xdr:to>
        <xdr:sp macro="" textlink="">
          <xdr:nvSpPr>
            <xdr:cNvPr id="2076" name="SpinButton12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50</xdr:row>
          <xdr:rowOff>19050</xdr:rowOff>
        </xdr:from>
        <xdr:to>
          <xdr:col>17</xdr:col>
          <xdr:colOff>352425</xdr:colOff>
          <xdr:row>51</xdr:row>
          <xdr:rowOff>171450</xdr:rowOff>
        </xdr:to>
        <xdr:sp macro="" textlink="">
          <xdr:nvSpPr>
            <xdr:cNvPr id="2077" name="SpinButton13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50</xdr:row>
          <xdr:rowOff>19050</xdr:rowOff>
        </xdr:from>
        <xdr:to>
          <xdr:col>18</xdr:col>
          <xdr:colOff>361950</xdr:colOff>
          <xdr:row>51</xdr:row>
          <xdr:rowOff>171450</xdr:rowOff>
        </xdr:to>
        <xdr:sp macro="" textlink="">
          <xdr:nvSpPr>
            <xdr:cNvPr id="2078" name="SpinButton14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50</xdr:row>
          <xdr:rowOff>19050</xdr:rowOff>
        </xdr:from>
        <xdr:to>
          <xdr:col>19</xdr:col>
          <xdr:colOff>352425</xdr:colOff>
          <xdr:row>51</xdr:row>
          <xdr:rowOff>171450</xdr:rowOff>
        </xdr:to>
        <xdr:sp macro="" textlink="">
          <xdr:nvSpPr>
            <xdr:cNvPr id="2079" name="SpinButton15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50</xdr:row>
          <xdr:rowOff>19050</xdr:rowOff>
        </xdr:from>
        <xdr:to>
          <xdr:col>20</xdr:col>
          <xdr:colOff>361950</xdr:colOff>
          <xdr:row>51</xdr:row>
          <xdr:rowOff>171450</xdr:rowOff>
        </xdr:to>
        <xdr:sp macro="" textlink="">
          <xdr:nvSpPr>
            <xdr:cNvPr id="2080" name="SpinButton16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50</xdr:row>
          <xdr:rowOff>19050</xdr:rowOff>
        </xdr:from>
        <xdr:to>
          <xdr:col>21</xdr:col>
          <xdr:colOff>352425</xdr:colOff>
          <xdr:row>51</xdr:row>
          <xdr:rowOff>171450</xdr:rowOff>
        </xdr:to>
        <xdr:sp macro="" textlink="">
          <xdr:nvSpPr>
            <xdr:cNvPr id="2081" name="SpinButton17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</xdr:colOff>
          <xdr:row>50</xdr:row>
          <xdr:rowOff>19050</xdr:rowOff>
        </xdr:from>
        <xdr:to>
          <xdr:col>22</xdr:col>
          <xdr:colOff>361950</xdr:colOff>
          <xdr:row>51</xdr:row>
          <xdr:rowOff>171450</xdr:rowOff>
        </xdr:to>
        <xdr:sp macro="" textlink="">
          <xdr:nvSpPr>
            <xdr:cNvPr id="2082" name="SpinButton18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57150</xdr:colOff>
          <xdr:row>50</xdr:row>
          <xdr:rowOff>19050</xdr:rowOff>
        </xdr:from>
        <xdr:to>
          <xdr:col>23</xdr:col>
          <xdr:colOff>352425</xdr:colOff>
          <xdr:row>51</xdr:row>
          <xdr:rowOff>171450</xdr:rowOff>
        </xdr:to>
        <xdr:sp macro="" textlink="">
          <xdr:nvSpPr>
            <xdr:cNvPr id="2083" name="SpinButton19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66675</xdr:colOff>
          <xdr:row>50</xdr:row>
          <xdr:rowOff>19050</xdr:rowOff>
        </xdr:from>
        <xdr:to>
          <xdr:col>24</xdr:col>
          <xdr:colOff>361950</xdr:colOff>
          <xdr:row>51</xdr:row>
          <xdr:rowOff>171450</xdr:rowOff>
        </xdr:to>
        <xdr:sp macro="" textlink="">
          <xdr:nvSpPr>
            <xdr:cNvPr id="2084" name="SpinButton20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76200</xdr:colOff>
          <xdr:row>50</xdr:row>
          <xdr:rowOff>19050</xdr:rowOff>
        </xdr:from>
        <xdr:to>
          <xdr:col>25</xdr:col>
          <xdr:colOff>371475</xdr:colOff>
          <xdr:row>51</xdr:row>
          <xdr:rowOff>171450</xdr:rowOff>
        </xdr:to>
        <xdr:sp macro="" textlink="">
          <xdr:nvSpPr>
            <xdr:cNvPr id="2085" name="SpinButton21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85725</xdr:colOff>
          <xdr:row>50</xdr:row>
          <xdr:rowOff>19050</xdr:rowOff>
        </xdr:from>
        <xdr:to>
          <xdr:col>26</xdr:col>
          <xdr:colOff>381000</xdr:colOff>
          <xdr:row>51</xdr:row>
          <xdr:rowOff>171450</xdr:rowOff>
        </xdr:to>
        <xdr:sp macro="" textlink="">
          <xdr:nvSpPr>
            <xdr:cNvPr id="2086" name="SpinButton22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76200</xdr:colOff>
          <xdr:row>50</xdr:row>
          <xdr:rowOff>19050</xdr:rowOff>
        </xdr:from>
        <xdr:to>
          <xdr:col>27</xdr:col>
          <xdr:colOff>371475</xdr:colOff>
          <xdr:row>51</xdr:row>
          <xdr:rowOff>171450</xdr:rowOff>
        </xdr:to>
        <xdr:sp macro="" textlink="">
          <xdr:nvSpPr>
            <xdr:cNvPr id="2087" name="SpinButton23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85725</xdr:colOff>
          <xdr:row>50</xdr:row>
          <xdr:rowOff>19050</xdr:rowOff>
        </xdr:from>
        <xdr:to>
          <xdr:col>28</xdr:col>
          <xdr:colOff>381000</xdr:colOff>
          <xdr:row>51</xdr:row>
          <xdr:rowOff>171450</xdr:rowOff>
        </xdr:to>
        <xdr:sp macro="" textlink="">
          <xdr:nvSpPr>
            <xdr:cNvPr id="2088" name="SpinButton24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41</xdr:row>
          <xdr:rowOff>180975</xdr:rowOff>
        </xdr:from>
        <xdr:to>
          <xdr:col>16</xdr:col>
          <xdr:colOff>219075</xdr:colOff>
          <xdr:row>43</xdr:row>
          <xdr:rowOff>190500</xdr:rowOff>
        </xdr:to>
        <xdr:sp macro="" textlink="">
          <xdr:nvSpPr>
            <xdr:cNvPr id="2114" name="CommandButton1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49</xdr:row>
          <xdr:rowOff>47625</xdr:rowOff>
        </xdr:from>
        <xdr:to>
          <xdr:col>1</xdr:col>
          <xdr:colOff>504825</xdr:colOff>
          <xdr:row>49</xdr:row>
          <xdr:rowOff>238125</xdr:rowOff>
        </xdr:to>
        <xdr:sp macro="" textlink="">
          <xdr:nvSpPr>
            <xdr:cNvPr id="2115" name="CheckBox5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0.49653</cdr:x>
      <cdr:y>0.50345</cdr:y>
    </cdr:from>
    <cdr:to>
      <cdr:x>0.50669</cdr:x>
      <cdr:y>0.55275</cdr:y>
    </cdr:to>
    <cdr:sp macro="" textlink="">
      <cdr:nvSpPr>
        <cdr:cNvPr id="5127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777816" y="3407886"/>
          <a:ext cx="118231" cy="3333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45720" tIns="36576" rIns="45720" bIns="36576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l-PL" sz="205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28</xdr:row>
      <xdr:rowOff>104775</xdr:rowOff>
    </xdr:from>
    <xdr:to>
      <xdr:col>3</xdr:col>
      <xdr:colOff>19050</xdr:colOff>
      <xdr:row>30</xdr:row>
      <xdr:rowOff>28575</xdr:rowOff>
    </xdr:to>
    <xdr:sp macro="" textlink="">
      <xdr:nvSpPr>
        <xdr:cNvPr id="3" name="DTPicker1" hidden="1">
          <a:extLst>
            <a:ext uri="{63B3BB69-23CF-44E3-9099-C40C66FF867C}">
              <a14:compatExt xmlns:a14="http://schemas.microsoft.com/office/drawing/2010/main" spid="_x0000_s307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85725</xdr:colOff>
      <xdr:row>28</xdr:row>
      <xdr:rowOff>104775</xdr:rowOff>
    </xdr:from>
    <xdr:to>
      <xdr:col>8</xdr:col>
      <xdr:colOff>114300</xdr:colOff>
      <xdr:row>30</xdr:row>
      <xdr:rowOff>19050</xdr:rowOff>
    </xdr:to>
    <xdr:sp macro="" textlink="">
      <xdr:nvSpPr>
        <xdr:cNvPr id="4" name="DTPicker2" hidden="1">
          <a:extLst>
            <a:ext uri="{63B3BB69-23CF-44E3-9099-C40C66FF867C}">
              <a14:compatExt xmlns:a14="http://schemas.microsoft.com/office/drawing/2010/main" spid="_x0000_s307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180975</xdr:colOff>
      <xdr:row>28</xdr:row>
      <xdr:rowOff>123825</xdr:rowOff>
    </xdr:from>
    <xdr:to>
      <xdr:col>14</xdr:col>
      <xdr:colOff>133350</xdr:colOff>
      <xdr:row>30</xdr:row>
      <xdr:rowOff>47625</xdr:rowOff>
    </xdr:to>
    <xdr:sp macro="" textlink="">
      <xdr:nvSpPr>
        <xdr:cNvPr id="5" name="DTPicker3" hidden="1">
          <a:extLst>
            <a:ext uri="{63B3BB69-23CF-44E3-9099-C40C66FF867C}">
              <a14:compatExt xmlns:a14="http://schemas.microsoft.com/office/drawing/2010/main" spid="_x0000_s307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18</xdr:col>
      <xdr:colOff>171450</xdr:colOff>
      <xdr:row>28</xdr:row>
      <xdr:rowOff>123825</xdr:rowOff>
    </xdr:from>
    <xdr:to>
      <xdr:col>20</xdr:col>
      <xdr:colOff>238125</xdr:colOff>
      <xdr:row>30</xdr:row>
      <xdr:rowOff>38100</xdr:rowOff>
    </xdr:to>
    <xdr:sp macro="" textlink="">
      <xdr:nvSpPr>
        <xdr:cNvPr id="6" name="DTPicker4" hidden="1">
          <a:extLst>
            <a:ext uri="{63B3BB69-23CF-44E3-9099-C40C66FF867C}">
              <a14:compatExt xmlns:a14="http://schemas.microsoft.com/office/drawing/2010/main" spid="_x0000_s307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0</xdr:row>
      <xdr:rowOff>38100</xdr:rowOff>
    </xdr:from>
    <xdr:to>
      <xdr:col>12</xdr:col>
      <xdr:colOff>704850</xdr:colOff>
      <xdr:row>26</xdr:row>
      <xdr:rowOff>114300</xdr:rowOff>
    </xdr:to>
    <xdr:graphicFrame macro="">
      <xdr:nvGraphicFramePr>
        <xdr:cNvPr id="10" name="Wykres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</xdr:colOff>
      <xdr:row>0</xdr:row>
      <xdr:rowOff>47625</xdr:rowOff>
    </xdr:from>
    <xdr:to>
      <xdr:col>24</xdr:col>
      <xdr:colOff>638175</xdr:colOff>
      <xdr:row>26</xdr:row>
      <xdr:rowOff>123825</xdr:rowOff>
    </xdr:to>
    <xdr:graphicFrame macro="">
      <xdr:nvGraphicFramePr>
        <xdr:cNvPr id="11" name="Wykres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123825</xdr:colOff>
      <xdr:row>59</xdr:row>
      <xdr:rowOff>0</xdr:rowOff>
    </xdr:from>
    <xdr:to>
      <xdr:col>3</xdr:col>
      <xdr:colOff>266700</xdr:colOff>
      <xdr:row>60</xdr:row>
      <xdr:rowOff>47625</xdr:rowOff>
    </xdr:to>
    <xdr:sp macro="" textlink="">
      <xdr:nvSpPr>
        <xdr:cNvPr id="13" name="DTPicker5">
          <a:extLst>
            <a:ext uri="{63B3BB69-23CF-44E3-9099-C40C66FF867C}">
              <a14:compatExt xmlns:a14="http://schemas.microsoft.com/office/drawing/2010/main" spid="_x0000_s308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85725</xdr:colOff>
      <xdr:row>59</xdr:row>
      <xdr:rowOff>0</xdr:rowOff>
    </xdr:from>
    <xdr:to>
      <xdr:col>9</xdr:col>
      <xdr:colOff>66675</xdr:colOff>
      <xdr:row>60</xdr:row>
      <xdr:rowOff>38100</xdr:rowOff>
    </xdr:to>
    <xdr:sp macro="" textlink="">
      <xdr:nvSpPr>
        <xdr:cNvPr id="14" name="DTPicker6">
          <a:extLst>
            <a:ext uri="{63B3BB69-23CF-44E3-9099-C40C66FF867C}">
              <a14:compatExt xmlns:a14="http://schemas.microsoft.com/office/drawing/2010/main" spid="_x0000_s308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180975</xdr:colOff>
      <xdr:row>59</xdr:row>
      <xdr:rowOff>0</xdr:rowOff>
    </xdr:from>
    <xdr:to>
      <xdr:col>15</xdr:col>
      <xdr:colOff>352425</xdr:colOff>
      <xdr:row>60</xdr:row>
      <xdr:rowOff>47625</xdr:rowOff>
    </xdr:to>
    <xdr:sp macro="" textlink="">
      <xdr:nvSpPr>
        <xdr:cNvPr id="15" name="DTPicker7">
          <a:extLst>
            <a:ext uri="{63B3BB69-23CF-44E3-9099-C40C66FF867C}">
              <a14:compatExt xmlns:a14="http://schemas.microsoft.com/office/drawing/2010/main" spid="_x0000_s308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171450</xdr:colOff>
      <xdr:row>59</xdr:row>
      <xdr:rowOff>0</xdr:rowOff>
    </xdr:from>
    <xdr:to>
      <xdr:col>21</xdr:col>
      <xdr:colOff>209550</xdr:colOff>
      <xdr:row>60</xdr:row>
      <xdr:rowOff>38100</xdr:rowOff>
    </xdr:to>
    <xdr:sp macro="" textlink="">
      <xdr:nvSpPr>
        <xdr:cNvPr id="16" name="DTPicker8">
          <a:extLst>
            <a:ext uri="{63B3BB69-23CF-44E3-9099-C40C66FF867C}">
              <a14:compatExt xmlns:a14="http://schemas.microsoft.com/office/drawing/2010/main" spid="_x0000_s308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28</xdr:row>
          <xdr:rowOff>57150</xdr:rowOff>
        </xdr:from>
        <xdr:to>
          <xdr:col>5</xdr:col>
          <xdr:colOff>0</xdr:colOff>
          <xdr:row>30</xdr:row>
          <xdr:rowOff>104775</xdr:rowOff>
        </xdr:to>
        <xdr:sp macro="" textlink="">
          <xdr:nvSpPr>
            <xdr:cNvPr id="3089" name="SpinButton1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28</xdr:row>
          <xdr:rowOff>66675</xdr:rowOff>
        </xdr:from>
        <xdr:to>
          <xdr:col>11</xdr:col>
          <xdr:colOff>0</xdr:colOff>
          <xdr:row>30</xdr:row>
          <xdr:rowOff>114300</xdr:rowOff>
        </xdr:to>
        <xdr:sp macro="" textlink="">
          <xdr:nvSpPr>
            <xdr:cNvPr id="3090" name="SpinButton2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28</xdr:row>
          <xdr:rowOff>57150</xdr:rowOff>
        </xdr:from>
        <xdr:to>
          <xdr:col>17</xdr:col>
          <xdr:colOff>0</xdr:colOff>
          <xdr:row>30</xdr:row>
          <xdr:rowOff>104775</xdr:rowOff>
        </xdr:to>
        <xdr:sp macro="" textlink="">
          <xdr:nvSpPr>
            <xdr:cNvPr id="3091" name="SpinButton3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142875</xdr:colOff>
          <xdr:row>28</xdr:row>
          <xdr:rowOff>47625</xdr:rowOff>
        </xdr:from>
        <xdr:to>
          <xdr:col>23</xdr:col>
          <xdr:colOff>19050</xdr:colOff>
          <xdr:row>30</xdr:row>
          <xdr:rowOff>95250</xdr:rowOff>
        </xdr:to>
        <xdr:sp macro="" textlink="">
          <xdr:nvSpPr>
            <xdr:cNvPr id="3092" name="SpinButton4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6.xml"/><Relationship Id="rId26" Type="http://schemas.openxmlformats.org/officeDocument/2006/relationships/control" Target="../activeX/activeX10.xml"/><Relationship Id="rId21" Type="http://schemas.openxmlformats.org/officeDocument/2006/relationships/image" Target="../media/image9.emf"/><Relationship Id="rId34" Type="http://schemas.openxmlformats.org/officeDocument/2006/relationships/ctrlProp" Target="../ctrlProps/ctrlProp1.xml"/><Relationship Id="rId7" Type="http://schemas.openxmlformats.org/officeDocument/2006/relationships/image" Target="../media/image2.emf"/><Relationship Id="rId12" Type="http://schemas.openxmlformats.org/officeDocument/2006/relationships/control" Target="../activeX/activeX3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5.xml"/><Relationship Id="rId20" Type="http://schemas.openxmlformats.org/officeDocument/2006/relationships/control" Target="../activeX/activeX7.xml"/><Relationship Id="rId29" Type="http://schemas.openxmlformats.org/officeDocument/2006/relationships/control" Target="../activeX/activeX12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24" Type="http://schemas.openxmlformats.org/officeDocument/2006/relationships/control" Target="../activeX/activeX9.xml"/><Relationship Id="rId32" Type="http://schemas.openxmlformats.org/officeDocument/2006/relationships/control" Target="../activeX/activeX14.xml"/><Relationship Id="rId37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image" Target="../media/image12.emf"/><Relationship Id="rId36" Type="http://schemas.openxmlformats.org/officeDocument/2006/relationships/ctrlProp" Target="../ctrlProps/ctrlProp3.xml"/><Relationship Id="rId10" Type="http://schemas.openxmlformats.org/officeDocument/2006/relationships/control" Target="../activeX/activeX2.xml"/><Relationship Id="rId19" Type="http://schemas.openxmlformats.org/officeDocument/2006/relationships/image" Target="../media/image8.emf"/><Relationship Id="rId31" Type="http://schemas.openxmlformats.org/officeDocument/2006/relationships/image" Target="../media/image13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Relationship Id="rId14" Type="http://schemas.openxmlformats.org/officeDocument/2006/relationships/control" Target="../activeX/activeX4.xml"/><Relationship Id="rId22" Type="http://schemas.openxmlformats.org/officeDocument/2006/relationships/control" Target="../activeX/activeX8.xml"/><Relationship Id="rId27" Type="http://schemas.openxmlformats.org/officeDocument/2006/relationships/control" Target="../activeX/activeX11.xml"/><Relationship Id="rId30" Type="http://schemas.openxmlformats.org/officeDocument/2006/relationships/control" Target="../activeX/activeX13.xml"/><Relationship Id="rId35" Type="http://schemas.openxmlformats.org/officeDocument/2006/relationships/ctrlProp" Target="../ctrlProps/ctrlProp2.xml"/><Relationship Id="rId8" Type="http://schemas.openxmlformats.org/officeDocument/2006/relationships/control" Target="../activeX/activeX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22.xml"/><Relationship Id="rId18" Type="http://schemas.openxmlformats.org/officeDocument/2006/relationships/control" Target="../activeX/activeX27.xml"/><Relationship Id="rId26" Type="http://schemas.openxmlformats.org/officeDocument/2006/relationships/control" Target="../activeX/activeX35.xml"/><Relationship Id="rId39" Type="http://schemas.openxmlformats.org/officeDocument/2006/relationships/control" Target="../activeX/activeX44.xml"/><Relationship Id="rId21" Type="http://schemas.openxmlformats.org/officeDocument/2006/relationships/control" Target="../activeX/activeX30.xml"/><Relationship Id="rId34" Type="http://schemas.openxmlformats.org/officeDocument/2006/relationships/image" Target="../media/image19.emf"/><Relationship Id="rId42" Type="http://schemas.openxmlformats.org/officeDocument/2006/relationships/control" Target="../activeX/activeX46.xml"/><Relationship Id="rId7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9.xml"/><Relationship Id="rId29" Type="http://schemas.openxmlformats.org/officeDocument/2006/relationships/control" Target="../activeX/activeX38.xml"/><Relationship Id="rId41" Type="http://schemas.openxmlformats.org/officeDocument/2006/relationships/control" Target="../activeX/activeX4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control" Target="../activeX/activeX20.xml"/><Relationship Id="rId24" Type="http://schemas.openxmlformats.org/officeDocument/2006/relationships/control" Target="../activeX/activeX33.xml"/><Relationship Id="rId32" Type="http://schemas.openxmlformats.org/officeDocument/2006/relationships/image" Target="../media/image18.emf"/><Relationship Id="rId37" Type="http://schemas.openxmlformats.org/officeDocument/2006/relationships/control" Target="../activeX/activeX43.xml"/><Relationship Id="rId40" Type="http://schemas.openxmlformats.org/officeDocument/2006/relationships/image" Target="../media/image22.emf"/><Relationship Id="rId5" Type="http://schemas.openxmlformats.org/officeDocument/2006/relationships/image" Target="../media/image16.emf"/><Relationship Id="rId15" Type="http://schemas.openxmlformats.org/officeDocument/2006/relationships/control" Target="../activeX/activeX24.xml"/><Relationship Id="rId23" Type="http://schemas.openxmlformats.org/officeDocument/2006/relationships/control" Target="../activeX/activeX32.xml"/><Relationship Id="rId28" Type="http://schemas.openxmlformats.org/officeDocument/2006/relationships/control" Target="../activeX/activeX37.xml"/><Relationship Id="rId36" Type="http://schemas.openxmlformats.org/officeDocument/2006/relationships/image" Target="../media/image20.emf"/><Relationship Id="rId10" Type="http://schemas.openxmlformats.org/officeDocument/2006/relationships/control" Target="../activeX/activeX19.xml"/><Relationship Id="rId19" Type="http://schemas.openxmlformats.org/officeDocument/2006/relationships/control" Target="../activeX/activeX28.xml"/><Relationship Id="rId31" Type="http://schemas.openxmlformats.org/officeDocument/2006/relationships/control" Target="../activeX/activeX40.xml"/><Relationship Id="rId4" Type="http://schemas.openxmlformats.org/officeDocument/2006/relationships/control" Target="../activeX/activeX15.xml"/><Relationship Id="rId9" Type="http://schemas.openxmlformats.org/officeDocument/2006/relationships/control" Target="../activeX/activeX18.xml"/><Relationship Id="rId14" Type="http://schemas.openxmlformats.org/officeDocument/2006/relationships/control" Target="../activeX/activeX23.xml"/><Relationship Id="rId22" Type="http://schemas.openxmlformats.org/officeDocument/2006/relationships/control" Target="../activeX/activeX31.xml"/><Relationship Id="rId27" Type="http://schemas.openxmlformats.org/officeDocument/2006/relationships/control" Target="../activeX/activeX36.xml"/><Relationship Id="rId30" Type="http://schemas.openxmlformats.org/officeDocument/2006/relationships/control" Target="../activeX/activeX39.xml"/><Relationship Id="rId35" Type="http://schemas.openxmlformats.org/officeDocument/2006/relationships/control" Target="../activeX/activeX42.xml"/><Relationship Id="rId43" Type="http://schemas.openxmlformats.org/officeDocument/2006/relationships/image" Target="../media/image23.emf"/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21.xml"/><Relationship Id="rId17" Type="http://schemas.openxmlformats.org/officeDocument/2006/relationships/control" Target="../activeX/activeX26.xml"/><Relationship Id="rId25" Type="http://schemas.openxmlformats.org/officeDocument/2006/relationships/control" Target="../activeX/activeX34.xml"/><Relationship Id="rId33" Type="http://schemas.openxmlformats.org/officeDocument/2006/relationships/control" Target="../activeX/activeX41.xml"/><Relationship Id="rId38" Type="http://schemas.openxmlformats.org/officeDocument/2006/relationships/image" Target="../media/image2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4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8.xml"/><Relationship Id="rId5" Type="http://schemas.openxmlformats.org/officeDocument/2006/relationships/image" Target="../media/image24.emf"/><Relationship Id="rId4" Type="http://schemas.openxmlformats.org/officeDocument/2006/relationships/control" Target="../activeX/activeX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BH139"/>
  <sheetViews>
    <sheetView zoomScale="145" zoomScaleNormal="145" workbookViewId="0">
      <selection activeCell="K18" sqref="K18"/>
    </sheetView>
  </sheetViews>
  <sheetFormatPr defaultRowHeight="15" x14ac:dyDescent="0.25"/>
  <cols>
    <col min="1" max="1" width="3.5703125" customWidth="1"/>
    <col min="2" max="2" width="5.7109375" customWidth="1"/>
    <col min="3" max="5" width="6.7109375" customWidth="1"/>
    <col min="6" max="6" width="8.7109375" customWidth="1"/>
    <col min="7" max="7" width="5.7109375" customWidth="1"/>
    <col min="8" max="10" width="6.7109375" customWidth="1"/>
    <col min="11" max="11" width="8.7109375" customWidth="1"/>
    <col min="12" max="12" width="5.7109375" customWidth="1"/>
    <col min="13" max="15" width="6.7109375" customWidth="1"/>
    <col min="16" max="16" width="7.85546875" customWidth="1"/>
    <col min="17" max="17" width="5.7109375" customWidth="1"/>
    <col min="18" max="18" width="6.7109375" customWidth="1"/>
    <col min="19" max="19" width="6.85546875" customWidth="1"/>
    <col min="20" max="20" width="6.7109375" customWidth="1"/>
    <col min="21" max="21" width="8.7109375" customWidth="1"/>
    <col min="22" max="22" width="3.28515625" customWidth="1"/>
    <col min="23" max="23" width="4" customWidth="1"/>
    <col min="24" max="24" width="10.7109375" customWidth="1"/>
    <col min="25" max="48" width="6.5703125" customWidth="1"/>
    <col min="49" max="54" width="6" customWidth="1"/>
    <col min="55" max="59" width="5" customWidth="1"/>
  </cols>
  <sheetData>
    <row r="1" spans="1:60" ht="10.7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</row>
    <row r="2" spans="1:60" ht="10.7" customHeight="1" x14ac:dyDescent="0.25">
      <c r="A2" s="1"/>
      <c r="B2" s="184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7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</row>
    <row r="3" spans="1:60" ht="10.7" customHeight="1" x14ac:dyDescent="0.25">
      <c r="A3" s="1"/>
      <c r="B3" s="184"/>
      <c r="C3" s="1"/>
      <c r="D3" s="1"/>
      <c r="E3" s="1"/>
      <c r="F3" s="1"/>
      <c r="G3" s="1"/>
      <c r="H3" s="1"/>
      <c r="I3" s="1"/>
      <c r="J3" s="1"/>
      <c r="K3" s="3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</row>
    <row r="4" spans="1:60" ht="10.7" customHeight="1" x14ac:dyDescent="0.25">
      <c r="A4" s="1"/>
      <c r="B4" s="184"/>
      <c r="C4" s="1"/>
      <c r="D4" s="1"/>
      <c r="E4" s="1"/>
      <c r="F4" s="338">
        <v>42812</v>
      </c>
      <c r="G4" s="338"/>
      <c r="H4" s="338"/>
      <c r="I4" s="328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67"/>
      <c r="Z4" s="167"/>
      <c r="AA4" s="167"/>
      <c r="AB4" s="167"/>
      <c r="AC4" s="167"/>
      <c r="AD4" s="167"/>
      <c r="AE4" s="167"/>
      <c r="AF4" s="167"/>
      <c r="AG4" s="167"/>
      <c r="AH4" s="167"/>
      <c r="AI4" s="167"/>
      <c r="AJ4" s="167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</row>
    <row r="5" spans="1:60" ht="10.7" customHeight="1" x14ac:dyDescent="0.25">
      <c r="A5" s="1"/>
      <c r="B5" s="184"/>
      <c r="C5" s="1"/>
      <c r="D5" s="1"/>
      <c r="E5" s="1"/>
      <c r="F5" s="338"/>
      <c r="G5" s="338"/>
      <c r="H5" s="338"/>
      <c r="I5" s="328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67"/>
      <c r="Z5" s="167"/>
      <c r="AA5" s="167"/>
      <c r="AB5" s="167"/>
      <c r="AC5" s="167"/>
      <c r="AD5" s="167"/>
      <c r="AE5" s="167"/>
      <c r="AF5" s="167"/>
      <c r="AG5" s="167"/>
      <c r="AH5" s="167"/>
      <c r="AI5" s="167"/>
      <c r="AJ5" s="167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</row>
    <row r="6" spans="1:60" ht="10.5" customHeight="1" x14ac:dyDescent="0.25">
      <c r="A6" s="1"/>
      <c r="B6" s="184"/>
      <c r="C6" s="1"/>
      <c r="D6" s="1"/>
      <c r="E6" s="1"/>
      <c r="F6" s="338"/>
      <c r="G6" s="338"/>
      <c r="H6" s="33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</row>
    <row r="7" spans="1:60" ht="12" customHeight="1" x14ac:dyDescent="0.25">
      <c r="A7" s="1"/>
      <c r="B7" s="184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"/>
      <c r="U7" s="1"/>
      <c r="V7" s="1"/>
      <c r="W7" s="1"/>
      <c r="X7" s="1"/>
      <c r="Y7" s="167"/>
      <c r="Z7" s="167"/>
      <c r="AA7" s="167"/>
      <c r="AB7" s="167"/>
      <c r="AC7" s="167"/>
      <c r="AD7" s="167"/>
      <c r="AE7" s="167"/>
      <c r="AF7" s="167"/>
      <c r="AG7" s="167"/>
      <c r="AH7" s="167"/>
      <c r="AI7" s="167"/>
      <c r="AJ7" s="167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</row>
    <row r="8" spans="1:60" ht="10.7" customHeight="1" thickBot="1" x14ac:dyDescent="0.3">
      <c r="A8" s="1"/>
      <c r="B8" s="184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5"/>
      <c r="O8" s="6"/>
      <c r="P8" s="6"/>
      <c r="Q8" s="1"/>
      <c r="R8" s="1"/>
      <c r="S8" s="1"/>
      <c r="T8" s="1"/>
      <c r="U8" s="1"/>
      <c r="V8" s="1"/>
      <c r="W8" s="1"/>
      <c r="X8" s="1"/>
      <c r="Y8" s="167"/>
      <c r="Z8" s="167"/>
      <c r="AA8" s="167"/>
      <c r="AB8" s="167"/>
      <c r="AC8" s="167"/>
      <c r="AD8" s="167"/>
      <c r="AE8" s="167"/>
      <c r="AF8" s="167"/>
      <c r="AG8" s="167"/>
      <c r="AH8" s="167"/>
      <c r="AI8" s="167"/>
      <c r="AJ8" s="167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</row>
    <row r="9" spans="1:60" ht="10.7" customHeight="1" x14ac:dyDescent="0.25">
      <c r="A9" s="7">
        <v>39343.000949074078</v>
      </c>
      <c r="B9" s="382" t="s">
        <v>18</v>
      </c>
      <c r="C9" s="344" t="s">
        <v>4</v>
      </c>
      <c r="D9" s="346" t="s">
        <v>20</v>
      </c>
      <c r="E9" s="343"/>
      <c r="F9" s="348"/>
      <c r="G9" s="343"/>
      <c r="H9" s="343"/>
      <c r="I9" s="343"/>
      <c r="J9" s="343"/>
      <c r="K9" s="343"/>
      <c r="L9" s="343"/>
      <c r="M9" s="343"/>
      <c r="N9" s="343"/>
      <c r="O9" s="385" t="s">
        <v>0</v>
      </c>
      <c r="P9" s="386"/>
      <c r="Q9" s="386"/>
      <c r="R9" s="387"/>
      <c r="S9" s="1"/>
      <c r="T9" s="1"/>
      <c r="U9" s="1"/>
      <c r="V9" s="1"/>
      <c r="W9" s="1"/>
      <c r="X9" s="1"/>
      <c r="Y9" s="167"/>
      <c r="Z9" s="167"/>
      <c r="AA9" s="167"/>
      <c r="AB9" s="167"/>
      <c r="AC9" s="167"/>
      <c r="AD9" s="167"/>
      <c r="AE9" s="167"/>
      <c r="AF9" s="167"/>
      <c r="AG9" s="167"/>
      <c r="AH9" s="167"/>
      <c r="AI9" s="167"/>
      <c r="AJ9" s="167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</row>
    <row r="10" spans="1:60" ht="10.7" customHeight="1" x14ac:dyDescent="0.25">
      <c r="A10" s="8"/>
      <c r="B10" s="383"/>
      <c r="C10" s="345"/>
      <c r="D10" s="347"/>
      <c r="E10" s="343"/>
      <c r="F10" s="343"/>
      <c r="G10" s="343"/>
      <c r="H10" s="343"/>
      <c r="I10" s="343"/>
      <c r="J10" s="343"/>
      <c r="K10" s="343"/>
      <c r="L10" s="343"/>
      <c r="M10" s="343"/>
      <c r="N10" s="343"/>
      <c r="O10" s="388"/>
      <c r="P10" s="389"/>
      <c r="Q10" s="389"/>
      <c r="R10" s="390"/>
      <c r="S10" s="1"/>
      <c r="T10" s="1"/>
      <c r="U10" s="1"/>
      <c r="V10" s="1"/>
      <c r="W10" s="1"/>
      <c r="X10" s="1"/>
      <c r="Y10" s="167"/>
      <c r="Z10" s="167"/>
      <c r="AA10" s="167"/>
      <c r="AB10" s="167"/>
      <c r="AC10" s="167"/>
      <c r="AD10" s="167"/>
      <c r="AE10" s="167"/>
      <c r="AF10" s="167"/>
      <c r="AG10" s="167"/>
      <c r="AH10" s="167"/>
      <c r="AI10" s="167"/>
      <c r="AJ10" s="167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</row>
    <row r="11" spans="1:60" x14ac:dyDescent="0.25">
      <c r="A11" s="8"/>
      <c r="B11" s="384"/>
      <c r="C11" s="345"/>
      <c r="D11" s="347"/>
      <c r="E11" s="343"/>
      <c r="F11" s="343"/>
      <c r="G11" s="343"/>
      <c r="H11" s="343"/>
      <c r="I11" s="343"/>
      <c r="J11" s="343"/>
      <c r="K11" s="343"/>
      <c r="L11" s="343"/>
      <c r="M11" s="343"/>
      <c r="N11" s="343"/>
      <c r="O11" s="319">
        <v>52.5</v>
      </c>
      <c r="P11" s="323">
        <v>42771</v>
      </c>
      <c r="Q11" s="372">
        <f>P11</f>
        <v>42771</v>
      </c>
      <c r="R11" s="373"/>
      <c r="S11" s="9" t="s">
        <v>23</v>
      </c>
      <c r="T11" s="9"/>
      <c r="U11" s="10"/>
      <c r="V11" s="10"/>
      <c r="W11" s="10"/>
      <c r="X11" s="10"/>
      <c r="Y11" s="172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</row>
    <row r="12" spans="1:60" ht="11.25" customHeight="1" x14ac:dyDescent="0.25">
      <c r="A12" s="349">
        <f>F4</f>
        <v>42812</v>
      </c>
      <c r="B12" s="182">
        <v>7</v>
      </c>
      <c r="C12" s="182">
        <v>1.1000000000000001</v>
      </c>
      <c r="D12" s="183">
        <v>0</v>
      </c>
      <c r="E12" s="11"/>
      <c r="F12" s="11"/>
      <c r="G12" s="11"/>
      <c r="H12" s="11"/>
      <c r="I12" s="12"/>
      <c r="J12" s="13"/>
      <c r="K12" s="14"/>
      <c r="L12" s="15"/>
      <c r="M12" s="15"/>
      <c r="N12" s="343"/>
      <c r="O12" s="319">
        <v>58.2</v>
      </c>
      <c r="P12" s="324">
        <v>42769</v>
      </c>
      <c r="Q12" s="372">
        <f>P12</f>
        <v>42769</v>
      </c>
      <c r="R12" s="373"/>
      <c r="S12" s="9"/>
      <c r="T12" s="9"/>
      <c r="U12" s="10"/>
      <c r="V12" s="10"/>
      <c r="W12" s="10"/>
      <c r="X12" s="10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</row>
    <row r="13" spans="1:60" ht="11.25" customHeight="1" x14ac:dyDescent="0.25">
      <c r="A13" s="349"/>
      <c r="B13" s="182">
        <v>8</v>
      </c>
      <c r="C13" s="182">
        <v>1.1000000000000001</v>
      </c>
      <c r="D13" s="183">
        <v>7</v>
      </c>
      <c r="E13" s="11"/>
      <c r="F13" s="348"/>
      <c r="G13" s="348"/>
      <c r="H13" s="11"/>
      <c r="I13" s="12"/>
      <c r="J13" s="13"/>
      <c r="K13" s="14"/>
      <c r="L13" s="15"/>
      <c r="M13" s="15"/>
      <c r="N13" s="343"/>
      <c r="O13" s="319">
        <v>67.999999999999986</v>
      </c>
      <c r="P13" s="324">
        <v>42770</v>
      </c>
      <c r="Q13" s="372">
        <f t="shared" ref="Q13:Q17" si="0">P13</f>
        <v>42770</v>
      </c>
      <c r="R13" s="373"/>
      <c r="S13" s="9"/>
      <c r="T13" s="9"/>
      <c r="U13" s="10"/>
      <c r="V13" s="10"/>
      <c r="W13" s="10"/>
      <c r="X13" s="10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7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</row>
    <row r="14" spans="1:60" ht="11.25" customHeight="1" x14ac:dyDescent="0.25">
      <c r="A14" s="349"/>
      <c r="B14" s="182">
        <v>9</v>
      </c>
      <c r="C14" s="182">
        <v>1</v>
      </c>
      <c r="D14" s="183">
        <v>20</v>
      </c>
      <c r="E14" s="11"/>
      <c r="F14" s="343"/>
      <c r="G14" s="348"/>
      <c r="H14" s="11"/>
      <c r="I14" s="12"/>
      <c r="J14" s="13"/>
      <c r="K14" s="14"/>
      <c r="L14" s="15"/>
      <c r="M14" s="15"/>
      <c r="N14" s="343"/>
      <c r="O14" s="319">
        <v>73.899999999999991</v>
      </c>
      <c r="P14" s="324">
        <v>42768</v>
      </c>
      <c r="Q14" s="372">
        <f t="shared" si="0"/>
        <v>42768</v>
      </c>
      <c r="R14" s="373"/>
      <c r="S14" s="17"/>
      <c r="T14" s="17"/>
      <c r="U14" s="17"/>
      <c r="V14" s="10"/>
      <c r="W14" s="10"/>
      <c r="X14" s="10"/>
      <c r="Y14" s="167"/>
      <c r="Z14" s="167"/>
      <c r="AA14" s="167"/>
      <c r="AB14" s="167"/>
      <c r="AC14" s="167"/>
      <c r="AD14" s="167"/>
      <c r="AE14" s="167"/>
      <c r="AF14" s="167"/>
      <c r="AG14" s="167"/>
      <c r="AH14" s="167"/>
      <c r="AI14" s="167"/>
      <c r="AJ14" s="167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</row>
    <row r="15" spans="1:60" ht="11.25" customHeight="1" x14ac:dyDescent="0.25">
      <c r="A15" s="349"/>
      <c r="B15" s="182">
        <v>10</v>
      </c>
      <c r="C15" s="182">
        <v>1.2</v>
      </c>
      <c r="D15" s="183">
        <v>32</v>
      </c>
      <c r="E15" s="11"/>
      <c r="F15" s="343"/>
      <c r="G15" s="348"/>
      <c r="H15" s="11"/>
      <c r="I15" s="12"/>
      <c r="J15" s="13"/>
      <c r="K15" s="14"/>
      <c r="L15" s="15"/>
      <c r="M15" s="15"/>
      <c r="N15" s="343"/>
      <c r="O15" s="319">
        <v>75.7</v>
      </c>
      <c r="P15" s="324">
        <v>42767</v>
      </c>
      <c r="Q15" s="372">
        <f t="shared" si="0"/>
        <v>42767</v>
      </c>
      <c r="R15" s="373"/>
      <c r="S15" s="18"/>
      <c r="T15" s="18"/>
      <c r="U15" s="19"/>
      <c r="V15" s="18"/>
      <c r="W15" s="10"/>
      <c r="X15" s="10"/>
      <c r="Y15" s="167"/>
      <c r="Z15" s="167"/>
      <c r="AA15" s="167"/>
      <c r="AB15" s="167"/>
      <c r="AC15" s="167"/>
      <c r="AD15" s="167"/>
      <c r="AE15" s="167"/>
      <c r="AF15" s="167"/>
      <c r="AG15" s="167"/>
      <c r="AH15" s="167"/>
      <c r="AI15" s="167"/>
      <c r="AJ15" s="167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</row>
    <row r="16" spans="1:60" ht="11.25" customHeight="1" x14ac:dyDescent="0.25">
      <c r="A16" s="349"/>
      <c r="B16" s="182">
        <v>11</v>
      </c>
      <c r="C16" s="182">
        <v>1.5</v>
      </c>
      <c r="D16" s="183">
        <v>41</v>
      </c>
      <c r="E16" s="11"/>
      <c r="F16" s="181"/>
      <c r="G16" s="11"/>
      <c r="H16" s="11"/>
      <c r="I16" s="12"/>
      <c r="J16" s="13"/>
      <c r="K16" s="14"/>
      <c r="L16" s="15"/>
      <c r="M16" s="15"/>
      <c r="N16" s="343"/>
      <c r="O16" s="319">
        <v>108.20000000000003</v>
      </c>
      <c r="P16" s="324">
        <v>42760</v>
      </c>
      <c r="Q16" s="372">
        <f t="shared" si="0"/>
        <v>42760</v>
      </c>
      <c r="R16" s="373"/>
      <c r="S16" s="18"/>
      <c r="T16" s="18"/>
      <c r="U16" s="19"/>
      <c r="V16" s="18"/>
      <c r="W16" s="10"/>
      <c r="X16" s="10"/>
      <c r="Y16" s="167"/>
      <c r="Z16" s="167"/>
      <c r="AA16" s="167"/>
      <c r="AB16" s="167"/>
      <c r="AC16" s="167"/>
      <c r="AD16" s="167"/>
      <c r="AE16" s="167"/>
      <c r="AF16" s="167"/>
      <c r="AG16" s="167"/>
      <c r="AH16" s="167"/>
      <c r="AI16" s="167"/>
      <c r="AJ16" s="167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</row>
    <row r="17" spans="1:60" ht="11.25" customHeight="1" thickBot="1" x14ac:dyDescent="0.3">
      <c r="A17" s="349"/>
      <c r="B17" s="182">
        <v>12</v>
      </c>
      <c r="C17" s="182">
        <v>1.7</v>
      </c>
      <c r="D17" s="183">
        <v>46</v>
      </c>
      <c r="E17" s="11"/>
      <c r="F17" s="11"/>
      <c r="G17" s="11"/>
      <c r="H17" s="11"/>
      <c r="I17" s="12"/>
      <c r="J17" s="13"/>
      <c r="K17" s="14"/>
      <c r="L17" s="15"/>
      <c r="M17" s="15"/>
      <c r="N17" s="343"/>
      <c r="O17" s="320">
        <v>109.1</v>
      </c>
      <c r="P17" s="325">
        <v>42766</v>
      </c>
      <c r="Q17" s="374">
        <f t="shared" si="0"/>
        <v>42766</v>
      </c>
      <c r="R17" s="375"/>
      <c r="S17" s="18"/>
      <c r="T17" s="18"/>
      <c r="U17" s="19"/>
      <c r="V17" s="17"/>
      <c r="W17" s="10"/>
      <c r="X17" s="10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  <c r="AI17" s="167"/>
      <c r="AJ17" s="167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</row>
    <row r="18" spans="1:60" ht="11.25" customHeight="1" thickBot="1" x14ac:dyDescent="0.3">
      <c r="A18" s="349"/>
      <c r="B18" s="182">
        <v>13</v>
      </c>
      <c r="C18" s="182">
        <v>1.7</v>
      </c>
      <c r="D18" s="183">
        <v>46</v>
      </c>
      <c r="E18" s="11"/>
      <c r="F18" s="11"/>
      <c r="G18" s="11"/>
      <c r="H18" s="11"/>
      <c r="I18" s="12"/>
      <c r="J18" s="13"/>
      <c r="K18" s="14"/>
      <c r="L18" s="15"/>
      <c r="M18" s="15"/>
      <c r="N18" s="343"/>
      <c r="O18" s="16"/>
      <c r="P18" s="21"/>
      <c r="Q18" s="18"/>
      <c r="R18" s="18"/>
      <c r="S18" s="18"/>
      <c r="T18" s="18"/>
      <c r="U18" s="17"/>
      <c r="V18" s="19"/>
      <c r="W18" s="10"/>
      <c r="X18" s="10"/>
      <c r="Y18" s="167"/>
      <c r="Z18" s="167"/>
      <c r="AA18" s="167"/>
      <c r="AB18" s="167"/>
      <c r="AC18" s="167"/>
      <c r="AD18" s="167"/>
      <c r="AE18" s="167"/>
      <c r="AF18" s="167"/>
      <c r="AG18" s="167"/>
      <c r="AH18" s="167"/>
      <c r="AI18" s="167"/>
      <c r="AJ18" s="167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</row>
    <row r="19" spans="1:60" ht="11.25" customHeight="1" x14ac:dyDescent="0.25">
      <c r="A19" s="349"/>
      <c r="B19" s="182">
        <v>14</v>
      </c>
      <c r="C19" s="182">
        <v>1.8</v>
      </c>
      <c r="D19" s="183">
        <v>41</v>
      </c>
      <c r="E19" s="11"/>
      <c r="F19" s="11"/>
      <c r="G19" s="11"/>
      <c r="H19" s="11"/>
      <c r="I19" s="12"/>
      <c r="J19" s="13"/>
      <c r="K19" s="14"/>
      <c r="L19" s="13"/>
      <c r="M19" s="13"/>
      <c r="N19" s="343"/>
      <c r="O19" s="376" t="s">
        <v>16</v>
      </c>
      <c r="P19" s="377"/>
      <c r="Q19" s="377"/>
      <c r="R19" s="378"/>
      <c r="S19" s="18"/>
      <c r="T19" s="18"/>
      <c r="U19" s="17"/>
      <c r="V19" s="19"/>
      <c r="W19" s="10"/>
      <c r="X19" s="10"/>
      <c r="Y19" s="167"/>
      <c r="Z19" s="167"/>
      <c r="AA19" s="167"/>
      <c r="AB19" s="167"/>
      <c r="AC19" s="167"/>
      <c r="AD19" s="167"/>
      <c r="AE19" s="167"/>
      <c r="AF19" s="167"/>
      <c r="AG19" s="167"/>
      <c r="AH19" s="167"/>
      <c r="AI19" s="167"/>
      <c r="AJ19" s="167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</row>
    <row r="20" spans="1:60" ht="11.25" customHeight="1" x14ac:dyDescent="0.25">
      <c r="A20" s="349"/>
      <c r="B20" s="182">
        <v>15</v>
      </c>
      <c r="C20" s="182">
        <v>1.8</v>
      </c>
      <c r="D20" s="183">
        <v>31</v>
      </c>
      <c r="E20" s="11"/>
      <c r="F20" s="11"/>
      <c r="G20" s="11"/>
      <c r="H20" s="11"/>
      <c r="I20" s="12"/>
      <c r="J20" s="13"/>
      <c r="K20" s="14"/>
      <c r="L20" s="155"/>
      <c r="M20" s="155"/>
      <c r="N20" s="343"/>
      <c r="O20" s="379"/>
      <c r="P20" s="380"/>
      <c r="Q20" s="380"/>
      <c r="R20" s="381"/>
      <c r="S20" s="18"/>
      <c r="T20" s="18"/>
      <c r="U20" s="17"/>
      <c r="V20" s="19"/>
      <c r="W20" s="10"/>
      <c r="X20" s="10"/>
      <c r="Y20" s="167"/>
      <c r="Z20" s="167"/>
      <c r="AA20" s="167"/>
      <c r="AB20" s="167"/>
      <c r="AC20" s="167"/>
      <c r="AD20" s="167"/>
      <c r="AE20" s="167"/>
      <c r="AF20" s="167"/>
      <c r="AG20" s="167"/>
      <c r="AH20" s="167"/>
      <c r="AI20" s="167"/>
      <c r="AJ20" s="167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</row>
    <row r="21" spans="1:60" ht="11.25" customHeight="1" x14ac:dyDescent="0.25">
      <c r="A21" s="349"/>
      <c r="B21" s="182">
        <v>16</v>
      </c>
      <c r="C21" s="182">
        <v>1.9</v>
      </c>
      <c r="D21" s="183">
        <v>19</v>
      </c>
      <c r="E21" s="11"/>
      <c r="F21" s="11"/>
      <c r="G21" s="11"/>
      <c r="H21" s="11"/>
      <c r="I21" s="12"/>
      <c r="J21" s="13"/>
      <c r="K21" s="14"/>
      <c r="L21" s="15"/>
      <c r="M21" s="15"/>
      <c r="N21" s="343"/>
      <c r="O21" s="321">
        <v>236</v>
      </c>
      <c r="P21" s="326">
        <v>42780</v>
      </c>
      <c r="Q21" s="368">
        <f>P21</f>
        <v>42780</v>
      </c>
      <c r="R21" s="369"/>
      <c r="S21" s="18"/>
      <c r="T21" s="18"/>
      <c r="U21" s="18"/>
      <c r="V21" s="19"/>
      <c r="W21" s="10"/>
      <c r="X21" s="10"/>
      <c r="Y21" s="167"/>
      <c r="Z21" s="167"/>
      <c r="AA21" s="167"/>
      <c r="AB21" s="167"/>
      <c r="AC21" s="167"/>
      <c r="AD21" s="167"/>
      <c r="AE21" s="167"/>
      <c r="AF21" s="167"/>
      <c r="AG21" s="167"/>
      <c r="AH21" s="167"/>
      <c r="AI21" s="167"/>
      <c r="AJ21" s="167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</row>
    <row r="22" spans="1:60" ht="11.25" customHeight="1" x14ac:dyDescent="0.25">
      <c r="A22" s="349"/>
      <c r="B22" s="182">
        <v>17</v>
      </c>
      <c r="C22" s="182">
        <v>1.6</v>
      </c>
      <c r="D22" s="183">
        <v>3</v>
      </c>
      <c r="E22" s="11"/>
      <c r="F22" s="11"/>
      <c r="G22" s="11"/>
      <c r="H22" s="11"/>
      <c r="I22" s="12"/>
      <c r="J22" s="13"/>
      <c r="K22" s="14"/>
      <c r="L22" s="15"/>
      <c r="M22" s="15"/>
      <c r="N22" s="343"/>
      <c r="O22" s="321">
        <v>291</v>
      </c>
      <c r="P22" s="326">
        <v>42778</v>
      </c>
      <c r="Q22" s="368">
        <f t="shared" ref="Q22:Q27" si="1">P22</f>
        <v>42778</v>
      </c>
      <c r="R22" s="369"/>
      <c r="S22" s="18"/>
      <c r="T22" s="18"/>
      <c r="U22" s="18"/>
      <c r="V22" s="19"/>
      <c r="W22" s="10"/>
      <c r="X22" s="10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67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</row>
    <row r="23" spans="1:60" ht="11.25" customHeight="1" x14ac:dyDescent="0.25">
      <c r="A23" s="350" t="s">
        <v>1</v>
      </c>
      <c r="B23" s="182">
        <v>18</v>
      </c>
      <c r="C23" s="182">
        <v>1.3</v>
      </c>
      <c r="D23" s="183">
        <v>0</v>
      </c>
      <c r="E23" s="11"/>
      <c r="F23" s="11"/>
      <c r="G23" s="11"/>
      <c r="H23" s="11"/>
      <c r="I23" s="12"/>
      <c r="J23" s="13"/>
      <c r="K23" s="14"/>
      <c r="L23" s="15"/>
      <c r="M23" s="15"/>
      <c r="N23" s="343"/>
      <c r="O23" s="321">
        <v>698</v>
      </c>
      <c r="P23" s="326">
        <v>42765</v>
      </c>
      <c r="Q23" s="368">
        <f t="shared" si="1"/>
        <v>42765</v>
      </c>
      <c r="R23" s="369"/>
      <c r="S23" s="18"/>
      <c r="T23" s="18"/>
      <c r="U23" s="18"/>
      <c r="V23" s="19"/>
      <c r="W23" s="10"/>
      <c r="X23" s="10"/>
      <c r="Y23" s="167"/>
      <c r="Z23" s="167"/>
      <c r="AA23" s="167"/>
      <c r="AB23" s="167"/>
      <c r="AC23" s="167"/>
      <c r="AD23" s="167"/>
      <c r="AE23" s="167"/>
      <c r="AF23" s="167"/>
      <c r="AG23" s="167"/>
      <c r="AH23" s="167"/>
      <c r="AI23" s="167"/>
      <c r="AJ23" s="167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</row>
    <row r="24" spans="1:60" ht="11.25" customHeight="1" x14ac:dyDescent="0.25">
      <c r="A24" s="351"/>
      <c r="B24" s="182">
        <v>19</v>
      </c>
      <c r="C24" s="182">
        <v>1</v>
      </c>
      <c r="D24" s="183">
        <v>0</v>
      </c>
      <c r="E24" s="11"/>
      <c r="F24" s="11"/>
      <c r="G24" s="11"/>
      <c r="H24" s="11"/>
      <c r="I24" s="12"/>
      <c r="J24" s="13"/>
      <c r="K24" s="14"/>
      <c r="L24" s="15"/>
      <c r="M24" s="15"/>
      <c r="N24" s="343"/>
      <c r="O24" s="321">
        <v>749</v>
      </c>
      <c r="P24" s="326">
        <v>42764</v>
      </c>
      <c r="Q24" s="368">
        <f t="shared" si="1"/>
        <v>42764</v>
      </c>
      <c r="R24" s="369"/>
      <c r="S24" s="18"/>
      <c r="T24" s="18"/>
      <c r="U24" s="18"/>
      <c r="V24" s="19"/>
      <c r="W24" s="10"/>
      <c r="X24" s="10"/>
      <c r="Y24" s="167"/>
      <c r="Z24" s="167"/>
      <c r="AA24" s="167"/>
      <c r="AB24" s="167"/>
      <c r="AC24" s="167"/>
      <c r="AD24" s="167"/>
      <c r="AE24" s="167"/>
      <c r="AF24" s="167"/>
      <c r="AG24" s="167"/>
      <c r="AH24" s="167"/>
      <c r="AI24" s="167"/>
      <c r="AJ24" s="167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</row>
    <row r="25" spans="1:60" ht="11.25" customHeight="1" x14ac:dyDescent="0.25">
      <c r="A25" s="351"/>
      <c r="B25" s="182">
        <v>20</v>
      </c>
      <c r="C25" s="182">
        <v>0.7</v>
      </c>
      <c r="D25" s="183">
        <v>0</v>
      </c>
      <c r="E25" s="11"/>
      <c r="F25" s="11"/>
      <c r="G25" s="11"/>
      <c r="H25" s="11"/>
      <c r="I25" s="12"/>
      <c r="J25" s="13"/>
      <c r="K25" s="14"/>
      <c r="L25" s="15"/>
      <c r="M25" s="15"/>
      <c r="N25" s="343"/>
      <c r="O25" s="321">
        <v>766</v>
      </c>
      <c r="P25" s="326">
        <v>42763</v>
      </c>
      <c r="Q25" s="368">
        <f t="shared" si="1"/>
        <v>42763</v>
      </c>
      <c r="R25" s="369"/>
      <c r="S25" s="18"/>
      <c r="T25" s="18"/>
      <c r="U25" s="18"/>
      <c r="V25" s="19"/>
      <c r="W25" s="10"/>
      <c r="X25" s="10"/>
      <c r="Y25" s="167"/>
      <c r="Z25" s="167"/>
      <c r="AA25" s="167"/>
      <c r="AB25" s="167"/>
      <c r="AC25" s="167"/>
      <c r="AD25" s="167"/>
      <c r="AE25" s="167"/>
      <c r="AF25" s="167"/>
      <c r="AG25" s="167"/>
      <c r="AH25" s="167"/>
      <c r="AI25" s="167"/>
      <c r="AJ25" s="167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</row>
    <row r="26" spans="1:60" ht="11.25" customHeight="1" x14ac:dyDescent="0.25">
      <c r="A26" s="351"/>
      <c r="B26" s="182">
        <v>21</v>
      </c>
      <c r="C26" s="182">
        <v>0.4</v>
      </c>
      <c r="D26" s="183">
        <v>0</v>
      </c>
      <c r="E26" s="11"/>
      <c r="F26" s="11"/>
      <c r="G26" s="11"/>
      <c r="H26" s="11"/>
      <c r="I26" s="12"/>
      <c r="J26" s="13"/>
      <c r="K26" s="14"/>
      <c r="L26" s="15"/>
      <c r="M26" s="15"/>
      <c r="N26" s="343"/>
      <c r="O26" s="321">
        <v>784</v>
      </c>
      <c r="P26" s="326">
        <v>42776</v>
      </c>
      <c r="Q26" s="368">
        <f t="shared" si="1"/>
        <v>42776</v>
      </c>
      <c r="R26" s="369"/>
      <c r="S26" s="18"/>
      <c r="T26" s="18"/>
      <c r="U26" s="18"/>
      <c r="V26" s="19"/>
      <c r="W26" s="10"/>
      <c r="X26" s="10"/>
      <c r="Y26" s="167"/>
      <c r="Z26" s="167"/>
      <c r="AA26" s="167"/>
      <c r="AB26" s="167"/>
      <c r="AC26" s="167"/>
      <c r="AD26" s="167"/>
      <c r="AE26" s="167"/>
      <c r="AF26" s="167"/>
      <c r="AG26" s="167"/>
      <c r="AH26" s="167"/>
      <c r="AI26" s="167"/>
      <c r="AJ26" s="167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</row>
    <row r="27" spans="1:60" ht="11.25" customHeight="1" thickBot="1" x14ac:dyDescent="0.3">
      <c r="A27" s="351"/>
      <c r="B27" s="182">
        <v>22</v>
      </c>
      <c r="C27" s="182">
        <v>0.2</v>
      </c>
      <c r="D27" s="183">
        <v>0</v>
      </c>
      <c r="E27" s="11"/>
      <c r="F27" s="337"/>
      <c r="G27" s="11"/>
      <c r="H27" s="11"/>
      <c r="I27" s="12"/>
      <c r="J27" s="13"/>
      <c r="K27" s="14"/>
      <c r="L27" s="15"/>
      <c r="M27" s="15"/>
      <c r="N27" s="343"/>
      <c r="O27" s="322">
        <v>879</v>
      </c>
      <c r="P27" s="327">
        <v>42762</v>
      </c>
      <c r="Q27" s="370">
        <f t="shared" si="1"/>
        <v>42762</v>
      </c>
      <c r="R27" s="371"/>
      <c r="S27" s="18"/>
      <c r="T27" s="18"/>
      <c r="U27" s="18"/>
      <c r="V27" s="19"/>
      <c r="W27" s="10"/>
      <c r="X27" s="10"/>
      <c r="Y27" s="167"/>
      <c r="Z27" s="167"/>
      <c r="AA27" s="167"/>
      <c r="AB27" s="167"/>
      <c r="AC27" s="167"/>
      <c r="AD27" s="167"/>
      <c r="AE27" s="167"/>
      <c r="AF27" s="167"/>
      <c r="AG27" s="167"/>
      <c r="AH27" s="167"/>
      <c r="AI27" s="167"/>
      <c r="AJ27" s="167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</row>
    <row r="28" spans="1:60" ht="11.25" customHeight="1" x14ac:dyDescent="0.25">
      <c r="A28" s="351"/>
      <c r="B28" s="182">
        <v>23</v>
      </c>
      <c r="C28" s="182">
        <v>0.1</v>
      </c>
      <c r="D28" s="183">
        <v>0</v>
      </c>
      <c r="E28" s="11"/>
      <c r="F28" s="337"/>
      <c r="G28" s="11"/>
      <c r="H28" s="11"/>
      <c r="I28" s="12"/>
      <c r="J28" s="13"/>
      <c r="K28" s="14"/>
      <c r="L28" s="13"/>
      <c r="M28" s="13"/>
      <c r="N28" s="343"/>
      <c r="O28" s="6"/>
      <c r="P28" s="6"/>
      <c r="Q28" s="18"/>
      <c r="R28" s="18"/>
      <c r="S28" s="18"/>
      <c r="T28" s="18"/>
      <c r="U28" s="18"/>
      <c r="V28" s="19"/>
      <c r="W28" s="10"/>
      <c r="X28" s="10"/>
      <c r="Y28" s="167"/>
      <c r="Z28" s="167"/>
      <c r="AA28" s="167"/>
      <c r="AB28" s="167"/>
      <c r="AC28" s="167"/>
      <c r="AD28" s="167"/>
      <c r="AE28" s="167"/>
      <c r="AF28" s="167"/>
      <c r="AG28" s="167"/>
      <c r="AH28" s="167"/>
      <c r="AI28" s="167"/>
      <c r="AJ28" s="167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</row>
    <row r="29" spans="1:60" ht="11.25" customHeight="1" x14ac:dyDescent="0.25">
      <c r="A29" s="351"/>
      <c r="B29" s="182">
        <v>24</v>
      </c>
      <c r="C29" s="182">
        <v>-0.1</v>
      </c>
      <c r="D29" s="183">
        <v>0</v>
      </c>
      <c r="E29" s="11"/>
      <c r="F29" s="337"/>
      <c r="G29" s="11"/>
      <c r="H29" s="11"/>
      <c r="I29" s="12"/>
      <c r="J29" s="13"/>
      <c r="K29" s="14"/>
      <c r="L29" s="13"/>
      <c r="M29" s="13"/>
      <c r="N29" s="343"/>
      <c r="O29" s="22"/>
      <c r="P29" s="22"/>
      <c r="Q29" s="18"/>
      <c r="R29" s="18"/>
      <c r="S29" s="18"/>
      <c r="T29" s="18"/>
      <c r="U29" s="18"/>
      <c r="V29" s="19"/>
      <c r="W29" s="10"/>
      <c r="X29" s="10"/>
      <c r="Y29" s="167"/>
      <c r="Z29" s="167"/>
      <c r="AA29" s="167"/>
      <c r="AB29" s="167"/>
      <c r="AC29" s="167"/>
      <c r="AD29" s="167"/>
      <c r="AE29" s="167"/>
      <c r="AF29" s="167"/>
      <c r="AG29" s="167"/>
      <c r="AH29" s="167"/>
      <c r="AI29" s="167"/>
      <c r="AJ29" s="167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</row>
    <row r="30" spans="1:60" ht="11.25" customHeight="1" x14ac:dyDescent="0.25">
      <c r="A30" s="351"/>
      <c r="B30" s="182">
        <v>1</v>
      </c>
      <c r="C30" s="182">
        <v>-0.3</v>
      </c>
      <c r="D30" s="183">
        <v>0</v>
      </c>
      <c r="E30" s="11"/>
      <c r="F30" s="11"/>
      <c r="G30" s="11"/>
      <c r="H30" s="11"/>
      <c r="I30" s="12"/>
      <c r="J30" s="13"/>
      <c r="K30" s="14"/>
      <c r="L30" s="15"/>
      <c r="M30" s="15"/>
      <c r="N30" s="343"/>
      <c r="O30" s="16"/>
      <c r="P30" s="22"/>
      <c r="Q30" s="18"/>
      <c r="R30" s="1"/>
      <c r="S30" s="23"/>
      <c r="T30" s="18"/>
      <c r="U30" s="18"/>
      <c r="V30" s="19"/>
      <c r="W30" s="10"/>
      <c r="X30" s="10"/>
      <c r="Y30" s="167"/>
      <c r="Z30" s="167" t="s">
        <v>2</v>
      </c>
      <c r="AA30" s="167"/>
      <c r="AB30" s="167"/>
      <c r="AC30" s="167"/>
      <c r="AD30" s="167"/>
      <c r="AE30" s="167"/>
      <c r="AF30" s="167"/>
      <c r="AG30" s="167"/>
      <c r="AH30" s="167"/>
      <c r="AI30" s="167"/>
      <c r="AJ30" s="167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</row>
    <row r="31" spans="1:60" ht="11.25" customHeight="1" x14ac:dyDescent="0.25">
      <c r="A31" s="351"/>
      <c r="B31" s="182">
        <v>2</v>
      </c>
      <c r="C31" s="182">
        <v>-0.5</v>
      </c>
      <c r="D31" s="183">
        <v>0</v>
      </c>
      <c r="E31" s="11"/>
      <c r="F31" s="11"/>
      <c r="G31" s="11"/>
      <c r="H31" s="11"/>
      <c r="I31" s="12"/>
      <c r="J31" s="13"/>
      <c r="K31" s="14"/>
      <c r="L31" s="15"/>
      <c r="M31" s="15"/>
      <c r="N31" s="343"/>
      <c r="O31" s="16"/>
      <c r="P31" s="22"/>
      <c r="Q31" s="18"/>
      <c r="R31" s="1"/>
      <c r="S31" s="23"/>
      <c r="T31" s="18"/>
      <c r="U31" s="18"/>
      <c r="V31" s="19"/>
      <c r="W31" s="10"/>
      <c r="X31" s="10"/>
      <c r="Y31" s="171"/>
      <c r="Z31" s="171"/>
      <c r="AA31" s="171"/>
      <c r="AB31" s="167"/>
      <c r="AC31" s="167"/>
      <c r="AD31" s="167"/>
      <c r="AE31" s="167"/>
      <c r="AF31" s="167"/>
      <c r="AG31" s="167"/>
      <c r="AH31" s="167"/>
      <c r="AI31" s="167"/>
      <c r="AJ31" s="167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</row>
    <row r="32" spans="1:60" ht="11.25" customHeight="1" x14ac:dyDescent="0.25">
      <c r="A32" s="351"/>
      <c r="B32" s="182">
        <v>3</v>
      </c>
      <c r="C32" s="182">
        <v>-0.6</v>
      </c>
      <c r="D32" s="183">
        <v>0</v>
      </c>
      <c r="E32" s="11"/>
      <c r="F32" s="11"/>
      <c r="G32" s="11"/>
      <c r="H32" s="11"/>
      <c r="I32" s="12"/>
      <c r="J32" s="13"/>
      <c r="K32" s="14"/>
      <c r="L32" s="15"/>
      <c r="M32" s="15"/>
      <c r="N32" s="343"/>
      <c r="O32" s="16"/>
      <c r="P32" s="22"/>
      <c r="Q32" s="18"/>
      <c r="R32" s="1"/>
      <c r="S32" s="24"/>
      <c r="T32" s="18"/>
      <c r="U32" s="18"/>
      <c r="V32" s="19"/>
      <c r="W32" s="10"/>
      <c r="X32" s="10"/>
      <c r="Y32" s="171"/>
      <c r="Z32" s="171"/>
      <c r="AA32" s="171"/>
      <c r="AB32" s="167"/>
      <c r="AC32" s="167"/>
      <c r="AD32" s="167"/>
      <c r="AE32" s="167"/>
      <c r="AF32" s="167"/>
      <c r="AG32" s="167"/>
      <c r="AH32" s="167"/>
      <c r="AI32" s="167"/>
      <c r="AJ32" s="167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</row>
    <row r="33" spans="1:60" ht="11.25" customHeight="1" x14ac:dyDescent="0.25">
      <c r="A33" s="351"/>
      <c r="B33" s="182">
        <v>4</v>
      </c>
      <c r="C33" s="182">
        <v>-0.8</v>
      </c>
      <c r="D33" s="183">
        <v>0</v>
      </c>
      <c r="E33" s="11"/>
      <c r="F33" s="11"/>
      <c r="G33" s="11"/>
      <c r="H33" s="11"/>
      <c r="I33" s="12"/>
      <c r="J33" s="13"/>
      <c r="K33" s="14"/>
      <c r="L33" s="15"/>
      <c r="M33" s="15"/>
      <c r="N33" s="343"/>
      <c r="O33" s="16"/>
      <c r="P33" s="22"/>
      <c r="Q33" s="18"/>
      <c r="R33" s="1"/>
      <c r="S33" s="24"/>
      <c r="T33" s="18"/>
      <c r="U33" s="18"/>
      <c r="V33" s="19"/>
      <c r="W33" s="10"/>
      <c r="X33" s="10"/>
      <c r="Y33" s="171"/>
      <c r="Z33" s="171"/>
      <c r="AA33" s="171"/>
      <c r="AB33" s="167"/>
      <c r="AC33" s="167"/>
      <c r="AD33" s="167"/>
      <c r="AE33" s="167"/>
      <c r="AF33" s="167"/>
      <c r="AG33" s="167"/>
      <c r="AH33" s="167"/>
      <c r="AI33" s="167"/>
      <c r="AJ33" s="167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</row>
    <row r="34" spans="1:60" ht="11.25" customHeight="1" x14ac:dyDescent="0.25">
      <c r="A34" s="351"/>
      <c r="B34" s="182">
        <v>5</v>
      </c>
      <c r="C34" s="182">
        <v>-0.9</v>
      </c>
      <c r="D34" s="183">
        <v>0</v>
      </c>
      <c r="E34" s="11"/>
      <c r="F34" s="11"/>
      <c r="G34" s="11"/>
      <c r="H34" s="11"/>
      <c r="I34" s="12"/>
      <c r="J34" s="13"/>
      <c r="K34" s="14"/>
      <c r="L34" s="15"/>
      <c r="M34" s="15"/>
      <c r="N34" s="343"/>
      <c r="O34" s="16"/>
      <c r="P34" s="22"/>
      <c r="Q34" s="18"/>
      <c r="R34" s="18"/>
      <c r="T34" s="18"/>
      <c r="U34" s="18"/>
      <c r="V34" s="19"/>
      <c r="W34" s="10"/>
      <c r="X34" s="10"/>
      <c r="Y34" s="171"/>
      <c r="Z34" s="171"/>
      <c r="AA34" s="171"/>
      <c r="AB34" s="167"/>
      <c r="AC34" s="167"/>
      <c r="AD34" s="167"/>
      <c r="AE34" s="167"/>
      <c r="AF34" s="167"/>
      <c r="AG34" s="167"/>
      <c r="AH34" s="167"/>
      <c r="AI34" s="167"/>
      <c r="AJ34" s="167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</row>
    <row r="35" spans="1:60" ht="11.25" customHeight="1" thickBot="1" x14ac:dyDescent="0.3">
      <c r="A35" s="352"/>
      <c r="B35" s="25">
        <v>6</v>
      </c>
      <c r="C35" s="25">
        <v>-0.8</v>
      </c>
      <c r="D35" s="20">
        <v>0</v>
      </c>
      <c r="E35" s="11"/>
      <c r="F35" s="11"/>
      <c r="G35" s="11"/>
      <c r="H35" s="11"/>
      <c r="I35" s="12"/>
      <c r="J35" s="13"/>
      <c r="K35" s="14"/>
      <c r="L35" s="13"/>
      <c r="M35" s="13"/>
      <c r="N35" s="343"/>
      <c r="O35" s="22"/>
      <c r="P35" s="22"/>
      <c r="Q35" s="18"/>
      <c r="R35" s="18"/>
      <c r="S35" s="18"/>
      <c r="T35" s="18"/>
      <c r="U35" s="18"/>
      <c r="V35" s="19"/>
      <c r="W35" s="10"/>
      <c r="X35" s="10"/>
      <c r="Y35" s="171"/>
      <c r="Z35" s="171"/>
      <c r="AA35" s="171"/>
      <c r="AB35" s="167"/>
      <c r="AC35" s="167"/>
      <c r="AD35" s="167"/>
      <c r="AE35" s="167"/>
      <c r="AF35" s="167"/>
      <c r="AG35" s="167"/>
      <c r="AH35" s="167"/>
      <c r="AI35" s="167"/>
      <c r="AJ35" s="167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</row>
    <row r="36" spans="1:60" ht="15.75" thickBot="1" x14ac:dyDescent="0.3">
      <c r="A36" s="26"/>
      <c r="B36" s="1"/>
      <c r="C36" s="1"/>
      <c r="D36" s="1"/>
      <c r="E36" s="1"/>
      <c r="F36" s="1"/>
      <c r="G36" s="1"/>
      <c r="H36" s="1"/>
      <c r="I36" s="1"/>
      <c r="J36" s="1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9"/>
      <c r="W36" s="10"/>
      <c r="X36" s="10"/>
      <c r="Y36" s="171"/>
      <c r="Z36" s="171"/>
      <c r="AA36" s="171"/>
      <c r="AB36" s="167"/>
      <c r="AC36" s="167"/>
      <c r="AD36" s="167"/>
      <c r="AE36" s="167"/>
      <c r="AF36" s="167"/>
      <c r="AG36" s="167"/>
      <c r="AH36" s="167"/>
      <c r="AI36" s="167"/>
      <c r="AJ36" s="167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</row>
    <row r="37" spans="1:60" s="198" customFormat="1" ht="15" customHeight="1" x14ac:dyDescent="0.2">
      <c r="A37" s="353" t="s">
        <v>3</v>
      </c>
      <c r="B37" s="356">
        <v>42770</v>
      </c>
      <c r="C37" s="357"/>
      <c r="D37" s="187"/>
      <c r="E37" s="187">
        <v>3</v>
      </c>
      <c r="F37" s="186">
        <v>42775</v>
      </c>
      <c r="G37" s="360">
        <v>42770</v>
      </c>
      <c r="H37" s="361"/>
      <c r="I37" s="189"/>
      <c r="J37" s="189"/>
      <c r="K37" s="188"/>
      <c r="L37" s="364">
        <v>42784</v>
      </c>
      <c r="M37" s="365"/>
      <c r="N37" s="191"/>
      <c r="O37" s="191"/>
      <c r="P37" s="190"/>
      <c r="Q37" s="339">
        <v>42773</v>
      </c>
      <c r="R37" s="340"/>
      <c r="S37" s="193"/>
      <c r="T37" s="193"/>
      <c r="U37" s="192"/>
      <c r="V37" s="18"/>
      <c r="W37" s="194"/>
      <c r="X37" s="194"/>
      <c r="Y37" s="195"/>
      <c r="Z37" s="195"/>
      <c r="AA37" s="195"/>
      <c r="AB37" s="196"/>
      <c r="AC37" s="196"/>
      <c r="AD37" s="196"/>
      <c r="AE37" s="196"/>
      <c r="AF37" s="196"/>
      <c r="AG37" s="196"/>
      <c r="AH37" s="196"/>
      <c r="AI37" s="196"/>
      <c r="AJ37" s="196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7"/>
      <c r="AV37" s="197"/>
      <c r="AW37" s="197"/>
      <c r="AX37" s="197"/>
      <c r="AY37" s="197"/>
      <c r="AZ37" s="197"/>
      <c r="BA37" s="197"/>
      <c r="BB37" s="197"/>
      <c r="BC37" s="197"/>
      <c r="BD37" s="197"/>
      <c r="BE37" s="197"/>
      <c r="BF37" s="197"/>
      <c r="BG37" s="197"/>
      <c r="BH37" s="197"/>
    </row>
    <row r="38" spans="1:60" s="198" customFormat="1" thickBot="1" x14ac:dyDescent="0.25">
      <c r="A38" s="354"/>
      <c r="B38" s="358"/>
      <c r="C38" s="359"/>
      <c r="D38" s="275"/>
      <c r="E38" s="275">
        <v>4</v>
      </c>
      <c r="F38" s="200">
        <v>42775</v>
      </c>
      <c r="G38" s="362"/>
      <c r="H38" s="363"/>
      <c r="I38" s="276"/>
      <c r="J38" s="276"/>
      <c r="K38" s="202"/>
      <c r="L38" s="366"/>
      <c r="M38" s="367"/>
      <c r="N38" s="277"/>
      <c r="O38" s="277"/>
      <c r="P38" s="204"/>
      <c r="Q38" s="341"/>
      <c r="R38" s="342"/>
      <c r="S38" s="278"/>
      <c r="T38" s="278"/>
      <c r="U38" s="206"/>
      <c r="V38" s="18"/>
      <c r="W38" s="194"/>
      <c r="X38" s="194"/>
      <c r="Y38" s="195"/>
      <c r="Z38" s="195"/>
      <c r="AA38" s="195"/>
      <c r="AB38" s="196"/>
      <c r="AC38" s="196"/>
      <c r="AD38" s="196"/>
      <c r="AE38" s="196"/>
      <c r="AF38" s="196"/>
      <c r="AG38" s="196"/>
      <c r="AH38" s="196"/>
      <c r="AI38" s="196"/>
      <c r="AJ38" s="196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7"/>
      <c r="AV38" s="197"/>
      <c r="AW38" s="197"/>
      <c r="AX38" s="197"/>
      <c r="AY38" s="197"/>
      <c r="AZ38" s="197"/>
      <c r="BA38" s="197"/>
      <c r="BB38" s="197"/>
      <c r="BC38" s="197"/>
      <c r="BD38" s="197"/>
      <c r="BE38" s="197"/>
      <c r="BF38" s="197"/>
      <c r="BG38" s="197"/>
      <c r="BH38" s="197"/>
    </row>
    <row r="39" spans="1:60" s="198" customFormat="1" ht="13.5" hidden="1" customHeight="1" thickBot="1" x14ac:dyDescent="0.25">
      <c r="A39" s="354"/>
      <c r="B39" s="199"/>
      <c r="C39" s="200"/>
      <c r="D39" s="275"/>
      <c r="E39" s="275">
        <v>5</v>
      </c>
      <c r="F39" s="200">
        <v>42775</v>
      </c>
      <c r="G39" s="201">
        <v>-7.6</v>
      </c>
      <c r="H39" s="202"/>
      <c r="I39" s="276"/>
      <c r="J39" s="276"/>
      <c r="K39" s="202"/>
      <c r="L39" s="203"/>
      <c r="M39" s="204"/>
      <c r="N39" s="277"/>
      <c r="O39" s="277"/>
      <c r="P39" s="204"/>
      <c r="Q39" s="205"/>
      <c r="R39" s="206"/>
      <c r="S39" s="278"/>
      <c r="T39" s="278"/>
      <c r="U39" s="206"/>
      <c r="V39" s="207"/>
      <c r="W39" s="207"/>
      <c r="X39" s="207"/>
      <c r="Y39" s="195"/>
      <c r="Z39" s="195"/>
      <c r="AA39" s="195"/>
      <c r="AB39" s="196"/>
      <c r="AC39" s="196"/>
      <c r="AD39" s="196"/>
      <c r="AE39" s="196"/>
      <c r="AF39" s="196"/>
      <c r="AG39" s="196"/>
      <c r="AH39" s="196"/>
      <c r="AI39" s="196"/>
      <c r="AJ39" s="196"/>
      <c r="AK39" s="197"/>
      <c r="AL39" s="197"/>
      <c r="AM39" s="197"/>
      <c r="AN39" s="197"/>
      <c r="AO39" s="197"/>
      <c r="AP39" s="197"/>
      <c r="AQ39" s="197"/>
      <c r="AR39" s="197"/>
      <c r="AS39" s="197"/>
      <c r="AT39" s="197"/>
      <c r="AU39" s="197"/>
      <c r="AV39" s="197"/>
      <c r="AW39" s="197"/>
      <c r="AX39" s="197"/>
      <c r="AY39" s="197"/>
      <c r="AZ39" s="197"/>
      <c r="BA39" s="197"/>
      <c r="BB39" s="197"/>
      <c r="BC39" s="197"/>
      <c r="BD39" s="197"/>
      <c r="BE39" s="197"/>
      <c r="BF39" s="197"/>
      <c r="BG39" s="197"/>
      <c r="BH39" s="197"/>
    </row>
    <row r="40" spans="1:60" s="336" customFormat="1" ht="27" customHeight="1" x14ac:dyDescent="0.15">
      <c r="A40" s="354"/>
      <c r="B40" s="279" t="s">
        <v>18</v>
      </c>
      <c r="C40" s="280" t="s">
        <v>4</v>
      </c>
      <c r="D40" s="280" t="s">
        <v>20</v>
      </c>
      <c r="E40" s="280"/>
      <c r="F40" s="281" t="s">
        <v>17</v>
      </c>
      <c r="G40" s="329" t="s">
        <v>18</v>
      </c>
      <c r="H40" s="163" t="s">
        <v>4</v>
      </c>
      <c r="I40" s="163" t="s">
        <v>20</v>
      </c>
      <c r="J40" s="163"/>
      <c r="K40" s="163" t="s">
        <v>17</v>
      </c>
      <c r="L40" s="330" t="s">
        <v>18</v>
      </c>
      <c r="M40" s="162" t="s">
        <v>4</v>
      </c>
      <c r="N40" s="162" t="s">
        <v>20</v>
      </c>
      <c r="O40" s="162"/>
      <c r="P40" s="274" t="s">
        <v>17</v>
      </c>
      <c r="Q40" s="331" t="s">
        <v>18</v>
      </c>
      <c r="R40" s="164" t="s">
        <v>4</v>
      </c>
      <c r="S40" s="164" t="s">
        <v>20</v>
      </c>
      <c r="T40" s="164"/>
      <c r="U40" s="248" t="s">
        <v>17</v>
      </c>
      <c r="V40" s="332"/>
      <c r="W40" s="332"/>
      <c r="X40" s="332"/>
      <c r="Y40" s="333"/>
      <c r="Z40" s="333"/>
      <c r="AA40" s="333"/>
      <c r="AB40" s="334"/>
      <c r="AC40" s="334"/>
      <c r="AD40" s="334"/>
      <c r="AE40" s="334"/>
      <c r="AF40" s="334"/>
      <c r="AG40" s="334"/>
      <c r="AH40" s="334"/>
      <c r="AI40" s="334"/>
      <c r="AJ40" s="334"/>
      <c r="AK40" s="335"/>
      <c r="AL40" s="335"/>
      <c r="AM40" s="335"/>
      <c r="AN40" s="335"/>
      <c r="AO40" s="335"/>
      <c r="AP40" s="335"/>
      <c r="AQ40" s="335"/>
      <c r="AR40" s="335"/>
      <c r="AS40" s="335"/>
      <c r="AT40" s="335"/>
      <c r="AU40" s="335"/>
      <c r="AV40" s="335"/>
      <c r="AW40" s="335"/>
      <c r="AX40" s="335"/>
      <c r="AY40" s="335"/>
      <c r="AZ40" s="335"/>
      <c r="BA40" s="335"/>
      <c r="BB40" s="335"/>
      <c r="BC40" s="335"/>
      <c r="BD40" s="335"/>
      <c r="BE40" s="335"/>
      <c r="BF40" s="335"/>
      <c r="BG40" s="335"/>
      <c r="BH40" s="335"/>
    </row>
    <row r="41" spans="1:60" s="198" customFormat="1" ht="11.25" customHeight="1" x14ac:dyDescent="0.2">
      <c r="A41" s="354"/>
      <c r="B41" s="282">
        <v>4</v>
      </c>
      <c r="C41" s="27">
        <v>0.5</v>
      </c>
      <c r="D41" s="27">
        <v>0</v>
      </c>
      <c r="E41" s="208"/>
      <c r="F41" s="283">
        <v>186.92206299999995</v>
      </c>
      <c r="G41" s="219">
        <v>4</v>
      </c>
      <c r="H41" s="152">
        <v>-0.3</v>
      </c>
      <c r="I41" s="152">
        <v>0</v>
      </c>
      <c r="J41" s="209"/>
      <c r="K41" s="210">
        <v>191.34622500000006</v>
      </c>
      <c r="L41" s="211">
        <v>4</v>
      </c>
      <c r="M41" s="149">
        <v>-6.6</v>
      </c>
      <c r="N41" s="149">
        <v>0</v>
      </c>
      <c r="O41" s="212"/>
      <c r="P41" s="213">
        <v>188.80394700000002</v>
      </c>
      <c r="Q41" s="214">
        <v>4</v>
      </c>
      <c r="R41" s="100">
        <v>0.3</v>
      </c>
      <c r="S41" s="100">
        <v>0</v>
      </c>
      <c r="T41" s="101"/>
      <c r="U41" s="102">
        <v>161.63872999999998</v>
      </c>
      <c r="V41" s="207"/>
      <c r="W41" s="207"/>
      <c r="X41" s="207"/>
      <c r="Y41" s="195"/>
      <c r="Z41" s="195"/>
      <c r="AA41" s="195"/>
      <c r="AB41" s="196"/>
      <c r="AC41" s="196"/>
      <c r="AD41" s="196"/>
      <c r="AE41" s="196"/>
      <c r="AF41" s="196"/>
      <c r="AG41" s="196"/>
      <c r="AH41" s="196"/>
      <c r="AI41" s="196"/>
      <c r="AJ41" s="196"/>
      <c r="AK41" s="197"/>
      <c r="AL41" s="197"/>
      <c r="AM41" s="197"/>
      <c r="AN41" s="197"/>
      <c r="AO41" s="197"/>
      <c r="AP41" s="197"/>
      <c r="AQ41" s="197"/>
      <c r="AR41" s="197"/>
      <c r="AS41" s="197"/>
      <c r="AT41" s="197"/>
      <c r="AU41" s="197"/>
      <c r="AV41" s="197"/>
      <c r="AW41" s="197"/>
      <c r="AX41" s="197"/>
      <c r="AY41" s="197"/>
      <c r="AZ41" s="197"/>
      <c r="BA41" s="197"/>
      <c r="BB41" s="197"/>
      <c r="BC41" s="197"/>
      <c r="BD41" s="197"/>
      <c r="BE41" s="197"/>
      <c r="BF41" s="197"/>
      <c r="BG41" s="197"/>
      <c r="BH41" s="197"/>
    </row>
    <row r="42" spans="1:60" s="198" customFormat="1" ht="11.25" customHeight="1" x14ac:dyDescent="0.2">
      <c r="A42" s="354"/>
      <c r="B42" s="282">
        <v>5</v>
      </c>
      <c r="C42" s="27">
        <v>0.3</v>
      </c>
      <c r="D42" s="27">
        <v>0</v>
      </c>
      <c r="E42" s="208"/>
      <c r="F42" s="283">
        <v>187.18281499999998</v>
      </c>
      <c r="G42" s="219">
        <v>5</v>
      </c>
      <c r="H42" s="152">
        <v>-0.4</v>
      </c>
      <c r="I42" s="152">
        <v>0</v>
      </c>
      <c r="J42" s="209"/>
      <c r="K42" s="210">
        <v>194.22302600000006</v>
      </c>
      <c r="L42" s="211">
        <v>5</v>
      </c>
      <c r="M42" s="149">
        <v>-7</v>
      </c>
      <c r="N42" s="149">
        <v>0</v>
      </c>
      <c r="O42" s="212"/>
      <c r="P42" s="213">
        <v>190.53227200000012</v>
      </c>
      <c r="Q42" s="214">
        <v>5</v>
      </c>
      <c r="R42" s="100">
        <v>0</v>
      </c>
      <c r="S42" s="100">
        <v>0</v>
      </c>
      <c r="T42" s="101"/>
      <c r="U42" s="102">
        <v>163.75022300000001</v>
      </c>
      <c r="V42" s="207"/>
      <c r="W42" s="207"/>
      <c r="X42" s="207"/>
      <c r="Y42" s="195"/>
      <c r="Z42" s="195"/>
      <c r="AA42" s="195"/>
      <c r="AB42" s="196"/>
      <c r="AC42" s="196"/>
      <c r="AD42" s="196"/>
      <c r="AE42" s="196"/>
      <c r="AF42" s="196"/>
      <c r="AG42" s="196"/>
      <c r="AH42" s="196"/>
      <c r="AI42" s="196"/>
      <c r="AJ42" s="196"/>
      <c r="AK42" s="197"/>
      <c r="AL42" s="197"/>
      <c r="AM42" s="197"/>
      <c r="AN42" s="197"/>
      <c r="AO42" s="197"/>
      <c r="AP42" s="197"/>
      <c r="AQ42" s="197"/>
      <c r="AR42" s="197"/>
      <c r="AS42" s="197"/>
      <c r="AT42" s="197"/>
      <c r="AU42" s="197"/>
      <c r="AV42" s="197"/>
      <c r="AW42" s="197"/>
      <c r="AX42" s="197"/>
      <c r="AY42" s="197"/>
      <c r="AZ42" s="197"/>
      <c r="BA42" s="197"/>
      <c r="BB42" s="197"/>
      <c r="BC42" s="197"/>
      <c r="BD42" s="197"/>
      <c r="BE42" s="197"/>
      <c r="BF42" s="197"/>
      <c r="BG42" s="197"/>
      <c r="BH42" s="197"/>
    </row>
    <row r="43" spans="1:60" s="198" customFormat="1" ht="11.25" customHeight="1" x14ac:dyDescent="0.2">
      <c r="A43" s="354"/>
      <c r="B43" s="282">
        <v>6</v>
      </c>
      <c r="C43" s="27">
        <v>0.4</v>
      </c>
      <c r="D43" s="27">
        <v>0</v>
      </c>
      <c r="E43" s="208"/>
      <c r="F43" s="283">
        <v>185.19604999999993</v>
      </c>
      <c r="G43" s="219">
        <v>6</v>
      </c>
      <c r="H43" s="152">
        <v>-0.3</v>
      </c>
      <c r="I43" s="152">
        <v>0</v>
      </c>
      <c r="J43" s="209"/>
      <c r="K43" s="210">
        <v>193.57837800000001</v>
      </c>
      <c r="L43" s="211">
        <v>6</v>
      </c>
      <c r="M43" s="149">
        <v>-6.9</v>
      </c>
      <c r="N43" s="149">
        <v>0</v>
      </c>
      <c r="O43" s="212"/>
      <c r="P43" s="213">
        <v>191.07033399999997</v>
      </c>
      <c r="Q43" s="214">
        <v>6</v>
      </c>
      <c r="R43" s="100">
        <v>-0.1</v>
      </c>
      <c r="S43" s="100">
        <v>0</v>
      </c>
      <c r="T43" s="101"/>
      <c r="U43" s="102">
        <v>169.08536400000006</v>
      </c>
      <c r="V43" s="207"/>
      <c r="W43" s="207"/>
      <c r="X43" s="207"/>
      <c r="Y43" s="195"/>
      <c r="Z43" s="195"/>
      <c r="AA43" s="195"/>
      <c r="AB43" s="196"/>
      <c r="AC43" s="196"/>
      <c r="AD43" s="196"/>
      <c r="AE43" s="196"/>
      <c r="AF43" s="196"/>
      <c r="AG43" s="196"/>
      <c r="AH43" s="196"/>
      <c r="AI43" s="196"/>
      <c r="AJ43" s="196"/>
      <c r="AK43" s="197"/>
      <c r="AL43" s="197"/>
      <c r="AM43" s="197"/>
      <c r="AN43" s="197"/>
      <c r="AO43" s="197"/>
      <c r="AP43" s="197"/>
      <c r="AQ43" s="197"/>
      <c r="AR43" s="197"/>
      <c r="AS43" s="197"/>
      <c r="AT43" s="197"/>
      <c r="AU43" s="197"/>
      <c r="AV43" s="197"/>
      <c r="AW43" s="197"/>
      <c r="AX43" s="197"/>
      <c r="AY43" s="197"/>
      <c r="AZ43" s="197"/>
      <c r="BA43" s="197"/>
      <c r="BB43" s="197"/>
      <c r="BC43" s="197"/>
      <c r="BD43" s="197"/>
      <c r="BE43" s="197"/>
      <c r="BF43" s="197"/>
      <c r="BG43" s="197"/>
      <c r="BH43" s="197"/>
    </row>
    <row r="44" spans="1:60" s="198" customFormat="1" ht="11.25" customHeight="1" x14ac:dyDescent="0.2">
      <c r="A44" s="354"/>
      <c r="B44" s="282">
        <v>7</v>
      </c>
      <c r="C44" s="27">
        <v>0.3</v>
      </c>
      <c r="D44" s="27">
        <v>0</v>
      </c>
      <c r="E44" s="208"/>
      <c r="F44" s="284">
        <v>163.61407700000001</v>
      </c>
      <c r="G44" s="215">
        <v>7</v>
      </c>
      <c r="H44" s="152">
        <v>-0.1</v>
      </c>
      <c r="I44" s="152">
        <v>0</v>
      </c>
      <c r="J44" s="209"/>
      <c r="K44" s="216">
        <v>185.44924300000002</v>
      </c>
      <c r="L44" s="211">
        <v>7</v>
      </c>
      <c r="M44" s="149">
        <v>-6.8</v>
      </c>
      <c r="N44" s="149">
        <v>0</v>
      </c>
      <c r="O44" s="212"/>
      <c r="P44" s="213">
        <v>167.05813500000002</v>
      </c>
      <c r="Q44" s="214">
        <v>7</v>
      </c>
      <c r="R44" s="100">
        <v>-0.1</v>
      </c>
      <c r="S44" s="100">
        <v>0</v>
      </c>
      <c r="T44" s="101"/>
      <c r="U44" s="108">
        <v>129.32279600000001</v>
      </c>
      <c r="V44" s="207"/>
      <c r="W44" s="194"/>
      <c r="X44" s="194"/>
      <c r="Y44" s="195"/>
      <c r="Z44" s="195"/>
      <c r="AA44" s="195"/>
      <c r="AB44" s="196"/>
      <c r="AC44" s="217"/>
      <c r="AD44" s="217"/>
      <c r="AE44" s="217"/>
      <c r="AF44" s="217"/>
      <c r="AG44" s="217"/>
      <c r="AH44" s="217"/>
      <c r="AI44" s="217"/>
      <c r="AJ44" s="217"/>
      <c r="AK44" s="218"/>
      <c r="AL44" s="218"/>
      <c r="AM44" s="218"/>
      <c r="AN44" s="218"/>
      <c r="AO44" s="218"/>
      <c r="AP44" s="218"/>
      <c r="AQ44" s="218"/>
      <c r="AR44" s="218"/>
      <c r="AS44" s="218"/>
      <c r="AT44" s="218"/>
      <c r="AU44" s="218"/>
      <c r="AV44" s="218"/>
      <c r="AW44" s="197"/>
      <c r="AX44" s="197"/>
      <c r="AY44" s="197"/>
      <c r="AZ44" s="197"/>
      <c r="BA44" s="197"/>
      <c r="BB44" s="197"/>
      <c r="BC44" s="197"/>
      <c r="BD44" s="197"/>
      <c r="BE44" s="197"/>
      <c r="BF44" s="197"/>
      <c r="BG44" s="197"/>
      <c r="BH44" s="197"/>
    </row>
    <row r="45" spans="1:60" s="198" customFormat="1" ht="11.25" customHeight="1" x14ac:dyDescent="0.2">
      <c r="A45" s="354"/>
      <c r="B45" s="282">
        <v>8</v>
      </c>
      <c r="C45" s="27">
        <v>0.5</v>
      </c>
      <c r="D45" s="27">
        <v>1</v>
      </c>
      <c r="E45" s="208"/>
      <c r="F45" s="284">
        <v>165.33067099999997</v>
      </c>
      <c r="G45" s="219">
        <v>8</v>
      </c>
      <c r="H45" s="152">
        <v>-1</v>
      </c>
      <c r="I45" s="152">
        <v>3</v>
      </c>
      <c r="J45" s="209"/>
      <c r="K45" s="216">
        <v>184.57111200000003</v>
      </c>
      <c r="L45" s="211">
        <v>8</v>
      </c>
      <c r="M45" s="149">
        <v>-5.8</v>
      </c>
      <c r="N45" s="149">
        <v>28</v>
      </c>
      <c r="O45" s="212"/>
      <c r="P45" s="220">
        <v>170.39978099999993</v>
      </c>
      <c r="Q45" s="214">
        <v>8</v>
      </c>
      <c r="R45" s="100">
        <v>-0.2</v>
      </c>
      <c r="S45" s="100">
        <v>1</v>
      </c>
      <c r="T45" s="101"/>
      <c r="U45" s="108">
        <v>131.93843099999998</v>
      </c>
      <c r="V45" s="207"/>
      <c r="W45" s="9"/>
      <c r="X45" s="18"/>
      <c r="Y45" s="196"/>
      <c r="Z45" s="196"/>
      <c r="AA45" s="196"/>
      <c r="AB45" s="196"/>
      <c r="AC45" s="11"/>
      <c r="AD45" s="11"/>
      <c r="AE45" s="11"/>
      <c r="AF45" s="11"/>
      <c r="AG45" s="11"/>
      <c r="AH45" s="11"/>
      <c r="AI45" s="11"/>
      <c r="AJ45" s="11"/>
      <c r="AK45" s="28"/>
      <c r="AL45" s="29"/>
      <c r="AM45" s="28"/>
      <c r="AN45" s="29"/>
      <c r="AO45" s="28"/>
      <c r="AP45" s="29"/>
      <c r="AQ45" s="28"/>
      <c r="AR45" s="29"/>
      <c r="AS45" s="28"/>
      <c r="AT45" s="29"/>
      <c r="AU45" s="28"/>
      <c r="AV45" s="29"/>
      <c r="AW45" s="197"/>
      <c r="AX45" s="197"/>
      <c r="AY45" s="197"/>
      <c r="AZ45" s="197"/>
      <c r="BA45" s="197"/>
      <c r="BB45" s="197"/>
      <c r="BC45" s="197"/>
      <c r="BD45" s="197"/>
      <c r="BE45" s="197"/>
      <c r="BF45" s="197"/>
      <c r="BG45" s="197"/>
      <c r="BH45" s="197"/>
    </row>
    <row r="46" spans="1:60" s="198" customFormat="1" ht="11.25" customHeight="1" x14ac:dyDescent="0.2">
      <c r="A46" s="354"/>
      <c r="B46" s="282">
        <v>9</v>
      </c>
      <c r="C46" s="27">
        <v>0.8</v>
      </c>
      <c r="D46" s="27">
        <v>13</v>
      </c>
      <c r="E46" s="208"/>
      <c r="F46" s="284">
        <v>166.26273399999999</v>
      </c>
      <c r="G46" s="219">
        <v>9</v>
      </c>
      <c r="H46" s="152">
        <v>0.1</v>
      </c>
      <c r="I46" s="152">
        <v>116</v>
      </c>
      <c r="J46" s="209"/>
      <c r="K46" s="216">
        <v>185.01452299999994</v>
      </c>
      <c r="L46" s="211">
        <v>9</v>
      </c>
      <c r="M46" s="149">
        <v>-1.1000000000000001</v>
      </c>
      <c r="N46" s="149">
        <v>187</v>
      </c>
      <c r="O46" s="212"/>
      <c r="P46" s="220">
        <v>170.76194700000002</v>
      </c>
      <c r="Q46" s="214">
        <v>9</v>
      </c>
      <c r="R46" s="100">
        <v>-0.1</v>
      </c>
      <c r="S46" s="100">
        <v>14</v>
      </c>
      <c r="T46" s="101"/>
      <c r="U46" s="108">
        <v>132.60688300000001</v>
      </c>
      <c r="V46" s="207"/>
      <c r="W46" s="30"/>
      <c r="X46" s="9"/>
      <c r="Y46" s="196"/>
      <c r="Z46" s="196"/>
      <c r="AA46" s="196"/>
      <c r="AB46" s="196"/>
      <c r="AC46" s="173"/>
      <c r="AD46" s="173"/>
      <c r="AE46" s="173"/>
      <c r="AF46" s="173"/>
      <c r="AG46" s="173"/>
      <c r="AH46" s="173"/>
      <c r="AI46" s="173"/>
      <c r="AJ46" s="173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197"/>
      <c r="AX46" s="197"/>
      <c r="AY46" s="197"/>
      <c r="AZ46" s="197"/>
      <c r="BA46" s="197"/>
      <c r="BB46" s="197"/>
      <c r="BC46" s="197"/>
      <c r="BD46" s="197"/>
      <c r="BE46" s="197"/>
      <c r="BF46" s="197"/>
      <c r="BG46" s="197"/>
      <c r="BH46" s="197"/>
    </row>
    <row r="47" spans="1:60" s="198" customFormat="1" ht="11.25" customHeight="1" x14ac:dyDescent="0.2">
      <c r="A47" s="354"/>
      <c r="B47" s="282">
        <v>10</v>
      </c>
      <c r="C47" s="27">
        <v>1.4</v>
      </c>
      <c r="D47" s="27">
        <v>25</v>
      </c>
      <c r="E47" s="208"/>
      <c r="F47" s="283">
        <v>165.54445999999999</v>
      </c>
      <c r="G47" s="219">
        <v>10</v>
      </c>
      <c r="H47" s="152">
        <v>0.5</v>
      </c>
      <c r="I47" s="152">
        <v>76</v>
      </c>
      <c r="J47" s="209"/>
      <c r="K47" s="210">
        <v>188.20212199999992</v>
      </c>
      <c r="L47" s="211">
        <v>10</v>
      </c>
      <c r="M47" s="149">
        <v>2.2999999999999998</v>
      </c>
      <c r="N47" s="149">
        <v>307</v>
      </c>
      <c r="O47" s="212"/>
      <c r="P47" s="213">
        <v>177.80940100000004</v>
      </c>
      <c r="Q47" s="214">
        <v>10</v>
      </c>
      <c r="R47" s="100">
        <v>0.1</v>
      </c>
      <c r="S47" s="100">
        <v>25</v>
      </c>
      <c r="T47" s="101"/>
      <c r="U47" s="102">
        <v>133.62497300000001</v>
      </c>
      <c r="V47" s="207"/>
      <c r="W47" s="30"/>
      <c r="X47" s="9"/>
      <c r="Y47" s="196"/>
      <c r="Z47" s="196"/>
      <c r="AA47" s="196"/>
      <c r="AB47" s="196"/>
      <c r="AC47" s="174"/>
      <c r="AD47" s="174"/>
      <c r="AE47" s="174"/>
      <c r="AF47" s="174"/>
      <c r="AG47" s="174"/>
      <c r="AH47" s="174"/>
      <c r="AI47" s="174"/>
      <c r="AJ47" s="174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197"/>
      <c r="AX47" s="197"/>
      <c r="AY47" s="197"/>
      <c r="AZ47" s="197"/>
      <c r="BA47" s="197"/>
      <c r="BB47" s="197"/>
      <c r="BC47" s="197"/>
      <c r="BD47" s="197"/>
      <c r="BE47" s="197"/>
      <c r="BF47" s="197"/>
      <c r="BG47" s="197"/>
      <c r="BH47" s="197"/>
    </row>
    <row r="48" spans="1:60" s="198" customFormat="1" ht="11.25" customHeight="1" x14ac:dyDescent="0.2">
      <c r="A48" s="354"/>
      <c r="B48" s="282">
        <v>11</v>
      </c>
      <c r="C48" s="27">
        <v>1.4</v>
      </c>
      <c r="D48" s="27">
        <v>33</v>
      </c>
      <c r="E48" s="208"/>
      <c r="F48" s="283">
        <v>166.77400100000003</v>
      </c>
      <c r="G48" s="219">
        <v>11</v>
      </c>
      <c r="H48" s="152">
        <v>0.6</v>
      </c>
      <c r="I48" s="152">
        <v>103</v>
      </c>
      <c r="J48" s="209"/>
      <c r="K48" s="210">
        <v>190.99848499999993</v>
      </c>
      <c r="L48" s="211">
        <v>11</v>
      </c>
      <c r="M48" s="149">
        <v>6.1</v>
      </c>
      <c r="N48" s="149">
        <v>391</v>
      </c>
      <c r="O48" s="212"/>
      <c r="P48" s="213">
        <v>179.45221299999997</v>
      </c>
      <c r="Q48" s="214">
        <v>11</v>
      </c>
      <c r="R48" s="100">
        <v>0.3</v>
      </c>
      <c r="S48" s="100">
        <v>34</v>
      </c>
      <c r="T48" s="101"/>
      <c r="U48" s="102">
        <v>135.417914</v>
      </c>
      <c r="V48" s="207"/>
      <c r="W48" s="30"/>
      <c r="X48" s="9"/>
      <c r="Y48" s="195"/>
      <c r="Z48" s="195"/>
      <c r="AA48" s="196"/>
      <c r="AB48" s="196"/>
      <c r="AC48" s="175"/>
      <c r="AD48" s="175"/>
      <c r="AE48" s="175"/>
      <c r="AF48" s="175"/>
      <c r="AG48" s="175"/>
      <c r="AH48" s="175"/>
      <c r="AI48" s="175"/>
      <c r="AJ48" s="175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</row>
    <row r="49" spans="1:60" s="198" customFormat="1" ht="11.25" customHeight="1" x14ac:dyDescent="0.2">
      <c r="A49" s="354"/>
      <c r="B49" s="282">
        <v>12</v>
      </c>
      <c r="C49" s="27">
        <v>1.7</v>
      </c>
      <c r="D49" s="27">
        <v>38</v>
      </c>
      <c r="E49" s="208"/>
      <c r="F49" s="283">
        <v>169.92681000000002</v>
      </c>
      <c r="G49" s="219">
        <v>12</v>
      </c>
      <c r="H49" s="152">
        <v>1</v>
      </c>
      <c r="I49" s="152">
        <v>118</v>
      </c>
      <c r="J49" s="209"/>
      <c r="K49" s="210">
        <v>188.11407699999995</v>
      </c>
      <c r="L49" s="211">
        <v>12</v>
      </c>
      <c r="M49" s="149">
        <v>8.8000000000000007</v>
      </c>
      <c r="N49" s="149">
        <v>449</v>
      </c>
      <c r="O49" s="212"/>
      <c r="P49" s="213">
        <v>184.36298899999997</v>
      </c>
      <c r="Q49" s="214">
        <v>12</v>
      </c>
      <c r="R49" s="100">
        <v>0.6</v>
      </c>
      <c r="S49" s="100">
        <v>39</v>
      </c>
      <c r="T49" s="101"/>
      <c r="U49" s="102">
        <v>136.82815600000001</v>
      </c>
      <c r="V49" s="207"/>
      <c r="W49" s="30"/>
      <c r="X49" s="9"/>
      <c r="Y49" s="195"/>
      <c r="Z49" s="195"/>
      <c r="AA49" s="196"/>
      <c r="AB49" s="196"/>
      <c r="AC49" s="176"/>
      <c r="AD49" s="176"/>
      <c r="AE49" s="176"/>
      <c r="AF49" s="176"/>
      <c r="AG49" s="176"/>
      <c r="AH49" s="176"/>
      <c r="AI49" s="176"/>
      <c r="AJ49" s="176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197"/>
      <c r="AX49" s="197"/>
      <c r="AY49" s="197"/>
      <c r="AZ49" s="197"/>
      <c r="BA49" s="197"/>
      <c r="BB49" s="197"/>
      <c r="BC49" s="197"/>
      <c r="BD49" s="197"/>
      <c r="BE49" s="197"/>
      <c r="BF49" s="197"/>
      <c r="BG49" s="197"/>
      <c r="BH49" s="197"/>
    </row>
    <row r="50" spans="1:60" s="198" customFormat="1" ht="11.25" customHeight="1" x14ac:dyDescent="0.2">
      <c r="A50" s="354"/>
      <c r="B50" s="282">
        <v>13</v>
      </c>
      <c r="C50" s="27">
        <v>2.1</v>
      </c>
      <c r="D50" s="27">
        <v>38</v>
      </c>
      <c r="E50" s="208"/>
      <c r="F50" s="283">
        <v>169.60581999999999</v>
      </c>
      <c r="G50" s="219">
        <v>13</v>
      </c>
      <c r="H50" s="152">
        <v>1.4</v>
      </c>
      <c r="I50" s="152">
        <v>117</v>
      </c>
      <c r="J50" s="209"/>
      <c r="K50" s="210">
        <v>190.81377099999992</v>
      </c>
      <c r="L50" s="211">
        <v>13</v>
      </c>
      <c r="M50" s="149">
        <v>8.6999999999999993</v>
      </c>
      <c r="N50" s="149">
        <v>448</v>
      </c>
      <c r="O50" s="212"/>
      <c r="P50" s="213">
        <v>186.84212900000003</v>
      </c>
      <c r="Q50" s="214">
        <v>13</v>
      </c>
      <c r="R50" s="100">
        <v>1</v>
      </c>
      <c r="S50" s="100">
        <v>38</v>
      </c>
      <c r="T50" s="101"/>
      <c r="U50" s="102">
        <v>138.86526299999997</v>
      </c>
      <c r="V50" s="207"/>
      <c r="W50" s="18"/>
      <c r="X50" s="9"/>
      <c r="Y50" s="195"/>
      <c r="Z50" s="195"/>
      <c r="AA50" s="196"/>
      <c r="AB50" s="217"/>
      <c r="AC50" s="177"/>
      <c r="AD50" s="177"/>
      <c r="AE50" s="177"/>
      <c r="AF50" s="177"/>
      <c r="AG50" s="177"/>
      <c r="AH50" s="177"/>
      <c r="AI50" s="177"/>
      <c r="AJ50" s="177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197"/>
      <c r="AX50" s="197"/>
      <c r="AY50" s="197"/>
      <c r="AZ50" s="197"/>
      <c r="BA50" s="197"/>
      <c r="BB50" s="197"/>
      <c r="BC50" s="197"/>
      <c r="BD50" s="197"/>
      <c r="BE50" s="197"/>
      <c r="BF50" s="197"/>
      <c r="BG50" s="197"/>
      <c r="BH50" s="197"/>
    </row>
    <row r="51" spans="1:60" s="198" customFormat="1" ht="11.25" customHeight="1" x14ac:dyDescent="0.2">
      <c r="A51" s="354"/>
      <c r="B51" s="282">
        <v>14</v>
      </c>
      <c r="C51" s="27">
        <v>2.2999999999999998</v>
      </c>
      <c r="D51" s="27">
        <v>33</v>
      </c>
      <c r="E51" s="208"/>
      <c r="F51" s="283">
        <v>166.87072100000003</v>
      </c>
      <c r="G51" s="219">
        <v>14</v>
      </c>
      <c r="H51" s="152">
        <v>1.9</v>
      </c>
      <c r="I51" s="152">
        <v>188</v>
      </c>
      <c r="J51" s="209"/>
      <c r="K51" s="210">
        <v>186.43783999999991</v>
      </c>
      <c r="L51" s="211">
        <v>14</v>
      </c>
      <c r="M51" s="149">
        <v>9.4</v>
      </c>
      <c r="N51" s="149">
        <v>394</v>
      </c>
      <c r="O51" s="212"/>
      <c r="P51" s="213">
        <v>186.30220400000002</v>
      </c>
      <c r="Q51" s="214">
        <v>14</v>
      </c>
      <c r="R51" s="100">
        <v>1.1000000000000001</v>
      </c>
      <c r="S51" s="100">
        <v>33</v>
      </c>
      <c r="T51" s="101"/>
      <c r="U51" s="102">
        <v>136.06222999999994</v>
      </c>
      <c r="V51" s="207"/>
      <c r="W51" s="9"/>
      <c r="X51" s="9"/>
      <c r="Y51" s="195"/>
      <c r="Z51" s="195"/>
      <c r="AA51" s="196"/>
      <c r="AB51" s="178"/>
      <c r="AC51" s="185"/>
      <c r="AD51" s="238"/>
      <c r="AE51" s="238"/>
      <c r="AF51" s="238"/>
      <c r="AG51" s="238"/>
      <c r="AH51" s="238"/>
      <c r="AI51" s="238"/>
      <c r="AJ51" s="238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97"/>
      <c r="AX51" s="197"/>
      <c r="AY51" s="197"/>
      <c r="AZ51" s="197"/>
      <c r="BA51" s="197"/>
      <c r="BB51" s="197"/>
      <c r="BC51" s="197"/>
      <c r="BD51" s="197"/>
      <c r="BE51" s="197"/>
      <c r="BF51" s="197"/>
      <c r="BG51" s="197"/>
      <c r="BH51" s="197"/>
    </row>
    <row r="52" spans="1:60" s="198" customFormat="1" ht="11.25" customHeight="1" x14ac:dyDescent="0.2">
      <c r="A52" s="354"/>
      <c r="B52" s="282">
        <v>15</v>
      </c>
      <c r="C52" s="27">
        <v>2.4</v>
      </c>
      <c r="D52" s="27">
        <v>24</v>
      </c>
      <c r="E52" s="208"/>
      <c r="F52" s="283">
        <v>167.08195999999998</v>
      </c>
      <c r="G52" s="219">
        <v>15</v>
      </c>
      <c r="H52" s="152">
        <v>0.7</v>
      </c>
      <c r="I52" s="152">
        <v>170</v>
      </c>
      <c r="J52" s="209"/>
      <c r="K52" s="210">
        <v>183.03049500000003</v>
      </c>
      <c r="L52" s="211">
        <v>15</v>
      </c>
      <c r="M52" s="149">
        <v>9.1999999999999993</v>
      </c>
      <c r="N52" s="149">
        <v>300</v>
      </c>
      <c r="O52" s="212"/>
      <c r="P52" s="213">
        <v>186.18876700000004</v>
      </c>
      <c r="Q52" s="214">
        <v>15</v>
      </c>
      <c r="R52" s="100">
        <v>1.4</v>
      </c>
      <c r="S52" s="100">
        <v>24</v>
      </c>
      <c r="T52" s="101"/>
      <c r="U52" s="102">
        <v>133.67472799999999</v>
      </c>
      <c r="V52" s="207"/>
      <c r="W52" s="194"/>
      <c r="X52" s="9"/>
      <c r="Y52" s="195"/>
      <c r="Z52" s="195"/>
      <c r="AA52" s="196"/>
      <c r="AB52" s="173"/>
      <c r="AC52" s="185"/>
      <c r="AD52" s="238"/>
      <c r="AE52" s="238"/>
      <c r="AF52" s="238"/>
      <c r="AG52" s="238"/>
      <c r="AH52" s="238"/>
      <c r="AI52" s="238"/>
      <c r="AJ52" s="238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97"/>
      <c r="AX52" s="197"/>
      <c r="AY52" s="197"/>
      <c r="AZ52" s="197"/>
      <c r="BA52" s="197"/>
      <c r="BB52" s="197"/>
      <c r="BC52" s="197"/>
      <c r="BD52" s="197"/>
      <c r="BE52" s="197"/>
      <c r="BF52" s="197"/>
      <c r="BG52" s="197"/>
      <c r="BH52" s="197"/>
    </row>
    <row r="53" spans="1:60" s="198" customFormat="1" ht="11.25" customHeight="1" x14ac:dyDescent="0.2">
      <c r="A53" s="354"/>
      <c r="B53" s="282">
        <v>16</v>
      </c>
      <c r="C53" s="27">
        <v>2</v>
      </c>
      <c r="D53" s="27">
        <v>12</v>
      </c>
      <c r="E53" s="208"/>
      <c r="F53" s="283">
        <v>165.409142</v>
      </c>
      <c r="G53" s="219">
        <v>16</v>
      </c>
      <c r="H53" s="152">
        <v>0.5</v>
      </c>
      <c r="I53" s="152">
        <v>93</v>
      </c>
      <c r="J53" s="209"/>
      <c r="K53" s="210">
        <v>181.85659700000002</v>
      </c>
      <c r="L53" s="211">
        <v>16</v>
      </c>
      <c r="M53" s="149">
        <v>8.1999999999999993</v>
      </c>
      <c r="N53" s="149">
        <v>180</v>
      </c>
      <c r="O53" s="212"/>
      <c r="P53" s="213">
        <v>185.42363500000005</v>
      </c>
      <c r="Q53" s="214">
        <v>16</v>
      </c>
      <c r="R53" s="100">
        <v>1.2</v>
      </c>
      <c r="S53" s="100">
        <v>13</v>
      </c>
      <c r="T53" s="101"/>
      <c r="U53" s="102">
        <v>134.93090800000002</v>
      </c>
      <c r="V53" s="207"/>
      <c r="W53" s="24"/>
      <c r="X53" s="37"/>
      <c r="Y53" s="195"/>
      <c r="Z53" s="195"/>
      <c r="AA53" s="196"/>
      <c r="AB53" s="174"/>
      <c r="AC53" s="179"/>
      <c r="AD53" s="179"/>
      <c r="AE53" s="179"/>
      <c r="AF53" s="179"/>
      <c r="AG53" s="179"/>
      <c r="AH53" s="179"/>
      <c r="AI53" s="179"/>
      <c r="AJ53" s="179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197"/>
      <c r="AX53" s="197"/>
      <c r="AY53" s="197"/>
      <c r="AZ53" s="197"/>
      <c r="BA53" s="197"/>
      <c r="BB53" s="197"/>
      <c r="BC53" s="197"/>
      <c r="BD53" s="197"/>
      <c r="BE53" s="197"/>
      <c r="BF53" s="197"/>
      <c r="BG53" s="197"/>
      <c r="BH53" s="197"/>
    </row>
    <row r="54" spans="1:60" s="198" customFormat="1" ht="11.25" customHeight="1" x14ac:dyDescent="0.2">
      <c r="A54" s="354"/>
      <c r="B54" s="282">
        <v>17</v>
      </c>
      <c r="C54" s="27">
        <v>1.9</v>
      </c>
      <c r="D54" s="27">
        <v>0</v>
      </c>
      <c r="E54" s="208"/>
      <c r="F54" s="283">
        <v>160.56865900000003</v>
      </c>
      <c r="G54" s="219">
        <v>17</v>
      </c>
      <c r="H54" s="152">
        <v>0</v>
      </c>
      <c r="I54" s="152">
        <v>0</v>
      </c>
      <c r="J54" s="209"/>
      <c r="K54" s="210">
        <v>177.45324999999997</v>
      </c>
      <c r="L54" s="211">
        <v>17</v>
      </c>
      <c r="M54" s="149">
        <v>5.4</v>
      </c>
      <c r="N54" s="149">
        <v>25</v>
      </c>
      <c r="O54" s="212"/>
      <c r="P54" s="213">
        <v>179.71737900000002</v>
      </c>
      <c r="Q54" s="214">
        <v>17</v>
      </c>
      <c r="R54" s="100">
        <v>0.7</v>
      </c>
      <c r="S54" s="100">
        <v>1</v>
      </c>
      <c r="T54" s="101"/>
      <c r="U54" s="102">
        <v>135.03663599999996</v>
      </c>
      <c r="W54" s="194"/>
      <c r="X54" s="194"/>
      <c r="Y54" s="195"/>
      <c r="Z54" s="195"/>
      <c r="AA54" s="196"/>
      <c r="AB54" s="175"/>
      <c r="AC54" s="217"/>
      <c r="AD54" s="217"/>
      <c r="AE54" s="217"/>
      <c r="AF54" s="217"/>
      <c r="AG54" s="217"/>
      <c r="AH54" s="217"/>
      <c r="AI54" s="217"/>
      <c r="AJ54" s="217"/>
      <c r="AK54" s="218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197"/>
      <c r="AX54" s="197"/>
      <c r="AY54" s="197"/>
      <c r="AZ54" s="197"/>
      <c r="BA54" s="197"/>
      <c r="BB54" s="197"/>
      <c r="BC54" s="197"/>
      <c r="BD54" s="197"/>
      <c r="BE54" s="197"/>
      <c r="BF54" s="197"/>
      <c r="BG54" s="197"/>
      <c r="BH54" s="197"/>
    </row>
    <row r="55" spans="1:60" s="198" customFormat="1" ht="11.25" customHeight="1" x14ac:dyDescent="0.2">
      <c r="A55" s="354"/>
      <c r="B55" s="282">
        <v>18</v>
      </c>
      <c r="C55" s="27">
        <v>1.8</v>
      </c>
      <c r="D55" s="27">
        <v>0</v>
      </c>
      <c r="E55" s="208"/>
      <c r="F55" s="283">
        <v>156.84316000000001</v>
      </c>
      <c r="G55" s="219">
        <v>18</v>
      </c>
      <c r="H55" s="152">
        <v>-0.1</v>
      </c>
      <c r="I55" s="152">
        <v>0</v>
      </c>
      <c r="J55" s="209"/>
      <c r="K55" s="210">
        <v>177.58917599999995</v>
      </c>
      <c r="L55" s="211">
        <v>18</v>
      </c>
      <c r="M55" s="149">
        <v>1.9</v>
      </c>
      <c r="N55" s="149">
        <v>0</v>
      </c>
      <c r="O55" s="212"/>
      <c r="P55" s="213">
        <v>176.63733400000001</v>
      </c>
      <c r="Q55" s="214">
        <v>18</v>
      </c>
      <c r="R55" s="100">
        <v>0.6</v>
      </c>
      <c r="S55" s="100">
        <v>0</v>
      </c>
      <c r="T55" s="101"/>
      <c r="U55" s="102">
        <v>135.88851900000003</v>
      </c>
      <c r="V55" s="207"/>
      <c r="W55" s="207"/>
      <c r="X55" s="207"/>
      <c r="Y55" s="195"/>
      <c r="Z55" s="195"/>
      <c r="AA55" s="195"/>
      <c r="AB55" s="176"/>
      <c r="AC55" s="196"/>
      <c r="AD55" s="196"/>
      <c r="AE55" s="196"/>
      <c r="AF55" s="196"/>
      <c r="AG55" s="196"/>
      <c r="AH55" s="196"/>
      <c r="AI55" s="196"/>
      <c r="AJ55" s="196"/>
      <c r="AK55" s="197"/>
      <c r="AL55" s="197"/>
      <c r="AM55" s="197"/>
      <c r="AN55" s="197"/>
      <c r="AO55" s="197"/>
      <c r="AP55" s="197"/>
      <c r="AQ55" s="197"/>
      <c r="AR55" s="197"/>
      <c r="AS55" s="197"/>
      <c r="AT55" s="197"/>
      <c r="AU55" s="197"/>
      <c r="AV55" s="197"/>
      <c r="AW55" s="197"/>
      <c r="AX55" s="197"/>
      <c r="AY55" s="197"/>
      <c r="AZ55" s="197"/>
      <c r="BA55" s="197"/>
      <c r="BB55" s="197"/>
      <c r="BC55" s="197"/>
      <c r="BD55" s="197"/>
      <c r="BE55" s="197"/>
      <c r="BF55" s="197"/>
      <c r="BG55" s="197"/>
      <c r="BH55" s="197"/>
    </row>
    <row r="56" spans="1:60" s="198" customFormat="1" ht="11.25" customHeight="1" x14ac:dyDescent="0.2">
      <c r="A56" s="354"/>
      <c r="B56" s="282">
        <v>19</v>
      </c>
      <c r="C56" s="27">
        <v>2</v>
      </c>
      <c r="D56" s="27">
        <v>0</v>
      </c>
      <c r="E56" s="208"/>
      <c r="F56" s="283">
        <v>159.19912500000001</v>
      </c>
      <c r="G56" s="219">
        <v>19</v>
      </c>
      <c r="H56" s="152">
        <v>-0.6</v>
      </c>
      <c r="I56" s="152">
        <v>0</v>
      </c>
      <c r="J56" s="209"/>
      <c r="K56" s="210">
        <v>176.41456000000005</v>
      </c>
      <c r="L56" s="211">
        <v>19</v>
      </c>
      <c r="M56" s="149">
        <v>-0.2</v>
      </c>
      <c r="N56" s="149">
        <v>0</v>
      </c>
      <c r="O56" s="212"/>
      <c r="P56" s="213">
        <v>174.14763100000002</v>
      </c>
      <c r="Q56" s="214">
        <v>19</v>
      </c>
      <c r="R56" s="100">
        <v>0.7</v>
      </c>
      <c r="S56" s="100">
        <v>0</v>
      </c>
      <c r="T56" s="101"/>
      <c r="U56" s="102">
        <v>135.55403000000001</v>
      </c>
      <c r="V56" s="207"/>
      <c r="W56" s="207"/>
      <c r="X56" s="207"/>
      <c r="Y56" s="195"/>
      <c r="Z56" s="196"/>
      <c r="AA56" s="195"/>
      <c r="AB56" s="177"/>
      <c r="AC56" s="196"/>
      <c r="AD56" s="196"/>
      <c r="AE56" s="196"/>
      <c r="AF56" s="196"/>
      <c r="AG56" s="196"/>
      <c r="AH56" s="196"/>
      <c r="AI56" s="196"/>
      <c r="AJ56" s="196"/>
      <c r="AK56" s="197"/>
      <c r="AL56" s="197"/>
      <c r="AM56" s="197"/>
      <c r="AN56" s="197"/>
      <c r="AO56" s="197"/>
      <c r="AP56" s="197"/>
      <c r="AQ56" s="197"/>
      <c r="AR56" s="197"/>
      <c r="AS56" s="197"/>
      <c r="AT56" s="197"/>
      <c r="AU56" s="197"/>
      <c r="AV56" s="197"/>
      <c r="AW56" s="197"/>
      <c r="AX56" s="197"/>
      <c r="AY56" s="197"/>
      <c r="AZ56" s="197"/>
      <c r="BA56" s="197"/>
      <c r="BB56" s="197"/>
      <c r="BC56" s="197"/>
      <c r="BD56" s="197"/>
      <c r="BE56" s="197"/>
      <c r="BF56" s="197"/>
      <c r="BG56" s="197"/>
      <c r="BH56" s="197"/>
    </row>
    <row r="57" spans="1:60" s="198" customFormat="1" ht="11.25" customHeight="1" x14ac:dyDescent="0.2">
      <c r="A57" s="354"/>
      <c r="B57" s="282">
        <v>20</v>
      </c>
      <c r="C57" s="27">
        <v>2.1</v>
      </c>
      <c r="D57" s="27">
        <v>0</v>
      </c>
      <c r="E57" s="208"/>
      <c r="F57" s="283">
        <v>160.57524800000004</v>
      </c>
      <c r="G57" s="219">
        <v>20</v>
      </c>
      <c r="H57" s="152">
        <v>-0.6</v>
      </c>
      <c r="I57" s="152">
        <v>0</v>
      </c>
      <c r="J57" s="209"/>
      <c r="K57" s="210">
        <v>172.87826299999992</v>
      </c>
      <c r="L57" s="211">
        <v>20</v>
      </c>
      <c r="M57" s="149">
        <v>-1.5</v>
      </c>
      <c r="N57" s="149">
        <v>0</v>
      </c>
      <c r="O57" s="212"/>
      <c r="P57" s="213">
        <v>170.84973000000008</v>
      </c>
      <c r="Q57" s="214">
        <v>20</v>
      </c>
      <c r="R57" s="100">
        <v>0.5</v>
      </c>
      <c r="S57" s="100">
        <v>0</v>
      </c>
      <c r="T57" s="101"/>
      <c r="U57" s="102">
        <v>135.26834900000009</v>
      </c>
      <c r="V57" s="207"/>
      <c r="W57" s="207"/>
      <c r="X57" s="207"/>
      <c r="Y57" s="217"/>
      <c r="Z57" s="196"/>
      <c r="AA57" s="195"/>
      <c r="AB57" s="185"/>
      <c r="AC57" s="196"/>
      <c r="AD57" s="196"/>
      <c r="AE57" s="196"/>
      <c r="AF57" s="196"/>
      <c r="AG57" s="196"/>
      <c r="AH57" s="196"/>
      <c r="AI57" s="196"/>
      <c r="AJ57" s="196"/>
      <c r="AK57" s="197"/>
      <c r="AL57" s="197"/>
      <c r="AM57" s="197"/>
      <c r="AN57" s="197"/>
      <c r="AO57" s="197"/>
      <c r="AP57" s="197"/>
      <c r="AQ57" s="197"/>
      <c r="AR57" s="197"/>
      <c r="AS57" s="197"/>
      <c r="AT57" s="197"/>
      <c r="AU57" s="197"/>
      <c r="AV57" s="197"/>
      <c r="AW57" s="197"/>
      <c r="AX57" s="197"/>
      <c r="AY57" s="197"/>
      <c r="AZ57" s="197"/>
      <c r="BA57" s="197"/>
      <c r="BB57" s="197"/>
      <c r="BC57" s="197"/>
      <c r="BD57" s="197"/>
      <c r="BE57" s="197"/>
      <c r="BF57" s="197"/>
      <c r="BG57" s="197"/>
      <c r="BH57" s="197"/>
    </row>
    <row r="58" spans="1:60" s="198" customFormat="1" ht="11.25" customHeight="1" x14ac:dyDescent="0.2">
      <c r="A58" s="354"/>
      <c r="B58" s="282">
        <v>21</v>
      </c>
      <c r="C58" s="27">
        <v>2</v>
      </c>
      <c r="D58" s="27">
        <v>0</v>
      </c>
      <c r="E58" s="208"/>
      <c r="F58" s="283">
        <v>163.48030200000005</v>
      </c>
      <c r="G58" s="219">
        <v>21</v>
      </c>
      <c r="H58" s="152">
        <v>-0.6</v>
      </c>
      <c r="I58" s="152">
        <v>0</v>
      </c>
      <c r="J58" s="209"/>
      <c r="K58" s="210">
        <v>173.80621899999994</v>
      </c>
      <c r="L58" s="211">
        <v>21</v>
      </c>
      <c r="M58" s="149">
        <v>-1.7</v>
      </c>
      <c r="N58" s="149">
        <v>0</v>
      </c>
      <c r="O58" s="212"/>
      <c r="P58" s="213">
        <v>171.78827399999997</v>
      </c>
      <c r="Q58" s="214">
        <v>21</v>
      </c>
      <c r="R58" s="100">
        <v>0.5</v>
      </c>
      <c r="S58" s="100">
        <v>0</v>
      </c>
      <c r="T58" s="101"/>
      <c r="U58" s="102">
        <v>138.25575100000006</v>
      </c>
      <c r="V58" s="207"/>
      <c r="W58" s="39"/>
      <c r="X58" s="39"/>
      <c r="Y58" s="217"/>
      <c r="Z58" s="180"/>
      <c r="AA58" s="195"/>
      <c r="AB58" s="185"/>
      <c r="AC58" s="180"/>
      <c r="AD58" s="180"/>
      <c r="AE58" s="180"/>
      <c r="AF58" s="180"/>
      <c r="AG58" s="180"/>
      <c r="AH58" s="180"/>
      <c r="AI58" s="180"/>
      <c r="AJ58" s="18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197"/>
      <c r="AX58" s="197"/>
      <c r="AY58" s="197"/>
      <c r="AZ58" s="197"/>
      <c r="BA58" s="197"/>
      <c r="BB58" s="197"/>
      <c r="BC58" s="197"/>
      <c r="BD58" s="197"/>
      <c r="BE58" s="197"/>
      <c r="BF58" s="197"/>
      <c r="BG58" s="197"/>
      <c r="BH58" s="197"/>
    </row>
    <row r="59" spans="1:60" s="198" customFormat="1" ht="11.25" customHeight="1" x14ac:dyDescent="0.2">
      <c r="A59" s="354"/>
      <c r="B59" s="282">
        <v>22</v>
      </c>
      <c r="C59" s="27">
        <v>1.9</v>
      </c>
      <c r="D59" s="27">
        <v>0</v>
      </c>
      <c r="E59" s="208"/>
      <c r="F59" s="283">
        <v>163.80339000000004</v>
      </c>
      <c r="G59" s="219">
        <v>22</v>
      </c>
      <c r="H59" s="152">
        <v>0.3</v>
      </c>
      <c r="I59" s="152">
        <v>0</v>
      </c>
      <c r="J59" s="209"/>
      <c r="K59" s="210">
        <v>177.30487899999991</v>
      </c>
      <c r="L59" s="211">
        <v>22</v>
      </c>
      <c r="M59" s="149">
        <v>-2</v>
      </c>
      <c r="N59" s="149">
        <v>0</v>
      </c>
      <c r="O59" s="212"/>
      <c r="P59" s="213">
        <v>174.505922</v>
      </c>
      <c r="Q59" s="214">
        <v>22</v>
      </c>
      <c r="R59" s="100">
        <v>0.7</v>
      </c>
      <c r="S59" s="100">
        <v>0</v>
      </c>
      <c r="T59" s="101"/>
      <c r="U59" s="102">
        <v>137.89493400000001</v>
      </c>
      <c r="V59" s="207"/>
      <c r="W59" s="39"/>
      <c r="X59" s="39"/>
      <c r="Y59" s="217"/>
      <c r="Z59" s="180"/>
      <c r="AA59" s="195"/>
      <c r="AB59" s="179"/>
      <c r="AC59" s="180" t="s">
        <v>2</v>
      </c>
      <c r="AD59" s="180"/>
      <c r="AE59" s="180"/>
      <c r="AF59" s="180"/>
      <c r="AG59" s="180"/>
      <c r="AH59" s="180"/>
      <c r="AI59" s="180"/>
      <c r="AJ59" s="18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197"/>
      <c r="AX59" s="197"/>
      <c r="AY59" s="197"/>
      <c r="AZ59" s="197"/>
      <c r="BA59" s="197"/>
      <c r="BB59" s="197"/>
      <c r="BC59" s="197"/>
      <c r="BD59" s="197"/>
      <c r="BE59" s="197"/>
      <c r="BF59" s="197"/>
      <c r="BG59" s="197"/>
      <c r="BH59" s="197"/>
    </row>
    <row r="60" spans="1:60" s="198" customFormat="1" ht="11.25" customHeight="1" x14ac:dyDescent="0.2">
      <c r="A60" s="354"/>
      <c r="B60" s="282">
        <v>23</v>
      </c>
      <c r="C60" s="27">
        <v>1.7</v>
      </c>
      <c r="D60" s="27">
        <v>0</v>
      </c>
      <c r="E60" s="208"/>
      <c r="F60" s="283">
        <v>160.44423500000005</v>
      </c>
      <c r="G60" s="219">
        <v>23</v>
      </c>
      <c r="H60" s="152">
        <v>0.4</v>
      </c>
      <c r="I60" s="152">
        <v>0</v>
      </c>
      <c r="J60" s="209"/>
      <c r="K60" s="210">
        <v>176.89952599999992</v>
      </c>
      <c r="L60" s="211">
        <v>23</v>
      </c>
      <c r="M60" s="149">
        <v>-2.8</v>
      </c>
      <c r="N60" s="149">
        <v>0</v>
      </c>
      <c r="O60" s="212"/>
      <c r="P60" s="213">
        <v>173.69458700000001</v>
      </c>
      <c r="Q60" s="214">
        <v>23</v>
      </c>
      <c r="R60" s="100">
        <v>0.6</v>
      </c>
      <c r="S60" s="100">
        <v>0</v>
      </c>
      <c r="T60" s="101"/>
      <c r="U60" s="102">
        <v>136.81424099999998</v>
      </c>
      <c r="V60" s="207"/>
      <c r="W60" s="39"/>
      <c r="X60" s="39"/>
      <c r="Y60" s="217"/>
      <c r="Z60" s="196"/>
      <c r="AA60" s="195"/>
      <c r="AB60" s="217"/>
      <c r="AC60" s="180"/>
      <c r="AD60" s="180"/>
      <c r="AE60" s="180"/>
      <c r="AF60" s="180"/>
      <c r="AG60" s="180"/>
      <c r="AH60" s="180"/>
      <c r="AI60" s="180"/>
      <c r="AJ60" s="18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197"/>
      <c r="AX60" s="197"/>
      <c r="AY60" s="197"/>
      <c r="AZ60" s="197"/>
      <c r="BA60" s="197"/>
      <c r="BB60" s="197"/>
      <c r="BC60" s="197"/>
      <c r="BD60" s="197"/>
      <c r="BE60" s="197"/>
      <c r="BF60" s="197"/>
      <c r="BG60" s="197"/>
      <c r="BH60" s="197"/>
    </row>
    <row r="61" spans="1:60" s="198" customFormat="1" ht="11.25" customHeight="1" x14ac:dyDescent="0.2">
      <c r="A61" s="354"/>
      <c r="B61" s="282">
        <v>24</v>
      </c>
      <c r="C61" s="27">
        <v>1.6</v>
      </c>
      <c r="D61" s="27">
        <v>0</v>
      </c>
      <c r="E61" s="208"/>
      <c r="F61" s="283">
        <v>162.75624199999999</v>
      </c>
      <c r="G61" s="219">
        <v>24</v>
      </c>
      <c r="H61" s="152">
        <v>0.4</v>
      </c>
      <c r="I61" s="152">
        <v>0</v>
      </c>
      <c r="J61" s="209"/>
      <c r="K61" s="210">
        <v>183.22515299999995</v>
      </c>
      <c r="L61" s="211">
        <v>24</v>
      </c>
      <c r="M61" s="149">
        <v>-3.2</v>
      </c>
      <c r="N61" s="149">
        <v>0</v>
      </c>
      <c r="O61" s="212"/>
      <c r="P61" s="213">
        <v>171.64759099999998</v>
      </c>
      <c r="Q61" s="214">
        <v>24</v>
      </c>
      <c r="R61" s="100">
        <v>0.5</v>
      </c>
      <c r="S61" s="100">
        <v>0</v>
      </c>
      <c r="T61" s="101"/>
      <c r="U61" s="102">
        <v>137.276839</v>
      </c>
      <c r="V61" s="207"/>
      <c r="W61" s="39"/>
      <c r="X61" s="39"/>
      <c r="Y61" s="217"/>
      <c r="Z61" s="196"/>
      <c r="AA61" s="180"/>
      <c r="AB61" s="180"/>
      <c r="AC61" s="180"/>
      <c r="AD61" s="180"/>
      <c r="AE61" s="180"/>
      <c r="AF61" s="180"/>
      <c r="AG61" s="180"/>
      <c r="AH61" s="180"/>
      <c r="AI61" s="180"/>
      <c r="AJ61" s="18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197"/>
      <c r="AX61" s="197"/>
      <c r="AY61" s="197"/>
      <c r="AZ61" s="197"/>
      <c r="BA61" s="197"/>
      <c r="BB61" s="197"/>
      <c r="BC61" s="197"/>
      <c r="BD61" s="197"/>
      <c r="BE61" s="197"/>
      <c r="BF61" s="197"/>
      <c r="BG61" s="197"/>
      <c r="BH61" s="197"/>
    </row>
    <row r="62" spans="1:60" s="198" customFormat="1" ht="11.25" customHeight="1" x14ac:dyDescent="0.2">
      <c r="A62" s="354"/>
      <c r="B62" s="282">
        <v>1</v>
      </c>
      <c r="C62" s="27">
        <v>1.3</v>
      </c>
      <c r="D62" s="27">
        <v>0</v>
      </c>
      <c r="E62" s="208"/>
      <c r="F62" s="283">
        <v>165.464912</v>
      </c>
      <c r="G62" s="219">
        <v>1</v>
      </c>
      <c r="H62" s="152">
        <v>0.3</v>
      </c>
      <c r="I62" s="152">
        <v>0</v>
      </c>
      <c r="J62" s="209"/>
      <c r="K62" s="210">
        <v>183.88778899999997</v>
      </c>
      <c r="L62" s="211">
        <v>1</v>
      </c>
      <c r="M62" s="149">
        <v>-3.4</v>
      </c>
      <c r="N62" s="149">
        <v>0</v>
      </c>
      <c r="O62" s="212"/>
      <c r="P62" s="213">
        <v>172.367141</v>
      </c>
      <c r="Q62" s="214">
        <v>1</v>
      </c>
      <c r="R62" s="100">
        <v>0.4</v>
      </c>
      <c r="S62" s="100">
        <v>0</v>
      </c>
      <c r="T62" s="101"/>
      <c r="U62" s="102">
        <v>138.350413</v>
      </c>
      <c r="V62" s="207"/>
      <c r="W62" s="207"/>
      <c r="X62" s="207"/>
      <c r="Y62" s="217"/>
      <c r="Z62" s="196"/>
      <c r="AA62" s="196"/>
      <c r="AB62" s="196"/>
      <c r="AC62" s="196"/>
      <c r="AD62" s="196"/>
      <c r="AE62" s="196"/>
      <c r="AF62" s="196"/>
      <c r="AG62" s="196"/>
      <c r="AH62" s="196"/>
      <c r="AI62" s="196"/>
      <c r="AJ62" s="196"/>
      <c r="AK62" s="197"/>
      <c r="AL62" s="197"/>
      <c r="AM62" s="197"/>
      <c r="AN62" s="197"/>
      <c r="AO62" s="197"/>
      <c r="AP62" s="197"/>
      <c r="AQ62" s="197"/>
      <c r="AR62" s="197"/>
      <c r="AS62" s="197"/>
      <c r="AT62" s="197"/>
      <c r="AU62" s="197"/>
      <c r="AV62" s="197"/>
      <c r="AW62" s="197"/>
      <c r="AX62" s="197"/>
      <c r="AY62" s="197"/>
      <c r="AZ62" s="197"/>
      <c r="BA62" s="197"/>
      <c r="BB62" s="197"/>
      <c r="BC62" s="197"/>
      <c r="BD62" s="197"/>
      <c r="BE62" s="197"/>
      <c r="BF62" s="197"/>
      <c r="BG62" s="197"/>
      <c r="BH62" s="197"/>
    </row>
    <row r="63" spans="1:60" s="198" customFormat="1" ht="11.25" customHeight="1" x14ac:dyDescent="0.2">
      <c r="A63" s="354"/>
      <c r="B63" s="282">
        <v>2</v>
      </c>
      <c r="C63" s="27">
        <v>1</v>
      </c>
      <c r="D63" s="27">
        <v>0</v>
      </c>
      <c r="E63" s="208"/>
      <c r="F63" s="283">
        <v>160.1154580000001</v>
      </c>
      <c r="G63" s="219">
        <v>2</v>
      </c>
      <c r="H63" s="152">
        <v>0.4</v>
      </c>
      <c r="I63" s="152">
        <v>0</v>
      </c>
      <c r="J63" s="209"/>
      <c r="K63" s="210">
        <v>183.91210699999996</v>
      </c>
      <c r="L63" s="211">
        <v>2</v>
      </c>
      <c r="M63" s="149">
        <v>-4.0999999999999996</v>
      </c>
      <c r="N63" s="149">
        <v>0</v>
      </c>
      <c r="O63" s="212"/>
      <c r="P63" s="213">
        <v>173.686486</v>
      </c>
      <c r="Q63" s="214">
        <v>2</v>
      </c>
      <c r="R63" s="100">
        <v>0.3</v>
      </c>
      <c r="S63" s="100">
        <v>0</v>
      </c>
      <c r="T63" s="101"/>
      <c r="U63" s="102">
        <v>139.514678</v>
      </c>
      <c r="V63" s="207"/>
      <c r="W63" s="207"/>
      <c r="X63" s="207"/>
      <c r="Y63" s="217"/>
      <c r="Z63" s="196"/>
      <c r="AA63" s="196"/>
      <c r="AB63" s="196"/>
      <c r="AC63" s="196"/>
      <c r="AD63" s="196"/>
      <c r="AE63" s="196"/>
      <c r="AF63" s="196"/>
      <c r="AG63" s="196"/>
      <c r="AH63" s="196"/>
      <c r="AI63" s="196"/>
      <c r="AJ63" s="196"/>
      <c r="AK63" s="197"/>
      <c r="AL63" s="197"/>
      <c r="AM63" s="197"/>
      <c r="AN63" s="197"/>
      <c r="AO63" s="197"/>
      <c r="AP63" s="197"/>
      <c r="AQ63" s="197"/>
      <c r="AR63" s="197"/>
      <c r="AS63" s="197"/>
      <c r="AT63" s="197"/>
      <c r="AU63" s="197"/>
      <c r="AV63" s="197"/>
      <c r="AW63" s="197"/>
      <c r="AX63" s="197"/>
      <c r="AY63" s="197"/>
      <c r="AZ63" s="197"/>
      <c r="BA63" s="197"/>
      <c r="BB63" s="197"/>
      <c r="BC63" s="197"/>
      <c r="BD63" s="197"/>
      <c r="BE63" s="197"/>
      <c r="BF63" s="197"/>
      <c r="BG63" s="197"/>
      <c r="BH63" s="197"/>
    </row>
    <row r="64" spans="1:60" s="198" customFormat="1" ht="11.25" customHeight="1" x14ac:dyDescent="0.2">
      <c r="A64" s="354"/>
      <c r="B64" s="282">
        <v>3</v>
      </c>
      <c r="C64" s="27">
        <v>0.5</v>
      </c>
      <c r="D64" s="27">
        <v>0</v>
      </c>
      <c r="E64" s="208"/>
      <c r="F64" s="283">
        <v>163.50987600000005</v>
      </c>
      <c r="G64" s="219">
        <v>3</v>
      </c>
      <c r="H64" s="152">
        <v>0.7</v>
      </c>
      <c r="I64" s="152">
        <v>0</v>
      </c>
      <c r="J64" s="209"/>
      <c r="K64" s="210">
        <v>185.30496499999998</v>
      </c>
      <c r="L64" s="211">
        <v>3</v>
      </c>
      <c r="M64" s="149">
        <v>-4</v>
      </c>
      <c r="N64" s="149">
        <v>0</v>
      </c>
      <c r="O64" s="212"/>
      <c r="P64" s="213">
        <v>172.19969500000005</v>
      </c>
      <c r="Q64" s="214">
        <v>3</v>
      </c>
      <c r="R64" s="100">
        <v>0.1</v>
      </c>
      <c r="S64" s="100">
        <v>0</v>
      </c>
      <c r="T64" s="101"/>
      <c r="U64" s="102">
        <v>139.74819999999997</v>
      </c>
      <c r="V64" s="207"/>
      <c r="W64" s="207"/>
      <c r="X64" s="207"/>
      <c r="Y64" s="217"/>
      <c r="Z64" s="196"/>
      <c r="AA64" s="196"/>
      <c r="AB64" s="196"/>
      <c r="AC64" s="196"/>
      <c r="AD64" s="196"/>
      <c r="AE64" s="196"/>
      <c r="AF64" s="196"/>
      <c r="AG64" s="196"/>
      <c r="AH64" s="196"/>
      <c r="AI64" s="196"/>
      <c r="AJ64" s="196"/>
      <c r="AK64" s="197"/>
      <c r="AL64" s="197"/>
      <c r="AM64" s="197"/>
      <c r="AN64" s="197"/>
      <c r="AO64" s="197"/>
      <c r="AP64" s="197"/>
      <c r="AQ64" s="197"/>
      <c r="AR64" s="197"/>
      <c r="AS64" s="197"/>
      <c r="AT64" s="197"/>
      <c r="AU64" s="197"/>
      <c r="AV64" s="197"/>
      <c r="AW64" s="197"/>
      <c r="AX64" s="197"/>
      <c r="AY64" s="197"/>
      <c r="AZ64" s="197"/>
      <c r="BA64" s="197"/>
      <c r="BB64" s="197"/>
      <c r="BC64" s="197"/>
      <c r="BD64" s="197"/>
      <c r="BE64" s="197"/>
      <c r="BF64" s="197"/>
      <c r="BG64" s="197"/>
      <c r="BH64" s="197"/>
    </row>
    <row r="65" spans="1:60" s="198" customFormat="1" ht="11.25" customHeight="1" x14ac:dyDescent="0.2">
      <c r="A65" s="354"/>
      <c r="B65" s="282">
        <v>4</v>
      </c>
      <c r="C65" s="27">
        <v>0.3</v>
      </c>
      <c r="D65" s="27">
        <v>0</v>
      </c>
      <c r="E65" s="221"/>
      <c r="F65" s="283">
        <v>161.63872999999998</v>
      </c>
      <c r="G65" s="219">
        <v>4</v>
      </c>
      <c r="H65" s="152">
        <v>0.5</v>
      </c>
      <c r="I65" s="152">
        <v>0</v>
      </c>
      <c r="J65" s="209"/>
      <c r="K65" s="210">
        <v>186.92206299999995</v>
      </c>
      <c r="L65" s="211">
        <v>4</v>
      </c>
      <c r="M65" s="149">
        <v>-4</v>
      </c>
      <c r="N65" s="149">
        <v>0</v>
      </c>
      <c r="O65" s="212"/>
      <c r="P65" s="213">
        <v>172.36758399999999</v>
      </c>
      <c r="Q65" s="214">
        <v>4</v>
      </c>
      <c r="R65" s="100">
        <v>0.1</v>
      </c>
      <c r="S65" s="100">
        <v>0</v>
      </c>
      <c r="T65" s="101"/>
      <c r="U65" s="102">
        <v>138.60707500000007</v>
      </c>
      <c r="V65" s="207"/>
      <c r="W65" s="207"/>
      <c r="X65" s="207"/>
      <c r="Y65" s="217"/>
      <c r="Z65" s="196"/>
      <c r="AA65" s="196"/>
      <c r="AB65" s="196"/>
      <c r="AC65" s="196"/>
      <c r="AD65" s="196"/>
      <c r="AE65" s="196"/>
      <c r="AF65" s="196"/>
      <c r="AG65" s="196"/>
      <c r="AH65" s="196"/>
      <c r="AI65" s="196"/>
      <c r="AJ65" s="196"/>
      <c r="AK65" s="197"/>
      <c r="AL65" s="197"/>
      <c r="AM65" s="197"/>
      <c r="AN65" s="197"/>
      <c r="AO65" s="197"/>
      <c r="AP65" s="197"/>
      <c r="AQ65" s="197"/>
      <c r="AR65" s="197"/>
      <c r="AS65" s="197"/>
      <c r="AT65" s="197"/>
      <c r="AU65" s="197"/>
      <c r="AV65" s="197"/>
      <c r="AW65" s="197"/>
      <c r="AX65" s="197"/>
      <c r="AY65" s="197"/>
      <c r="AZ65" s="197"/>
      <c r="BA65" s="197"/>
      <c r="BB65" s="197"/>
      <c r="BC65" s="197"/>
      <c r="BD65" s="197"/>
      <c r="BE65" s="197"/>
      <c r="BF65" s="197"/>
      <c r="BG65" s="197"/>
      <c r="BH65" s="197"/>
    </row>
    <row r="66" spans="1:60" s="198" customFormat="1" ht="11.25" customHeight="1" x14ac:dyDescent="0.2">
      <c r="A66" s="354"/>
      <c r="B66" s="282">
        <v>5</v>
      </c>
      <c r="C66" s="27">
        <v>0</v>
      </c>
      <c r="D66" s="27">
        <v>0</v>
      </c>
      <c r="E66" s="221"/>
      <c r="F66" s="283">
        <v>163.75022300000001</v>
      </c>
      <c r="G66" s="219">
        <v>5</v>
      </c>
      <c r="H66" s="152">
        <v>0.3</v>
      </c>
      <c r="I66" s="152">
        <v>0</v>
      </c>
      <c r="J66" s="209"/>
      <c r="K66" s="210">
        <v>187.18281499999998</v>
      </c>
      <c r="L66" s="211">
        <v>5</v>
      </c>
      <c r="M66" s="149">
        <v>-0.4</v>
      </c>
      <c r="N66" s="149">
        <v>0</v>
      </c>
      <c r="O66" s="212"/>
      <c r="P66" s="213">
        <v>176.47390800000002</v>
      </c>
      <c r="Q66" s="214">
        <v>5</v>
      </c>
      <c r="R66" s="100">
        <v>-0.2</v>
      </c>
      <c r="S66" s="100">
        <v>0</v>
      </c>
      <c r="T66" s="101"/>
      <c r="U66" s="102">
        <v>141.36404899999997</v>
      </c>
      <c r="V66" s="207"/>
      <c r="W66" s="207"/>
      <c r="X66" s="207"/>
      <c r="Y66" s="217"/>
      <c r="Z66" s="196"/>
      <c r="AA66" s="196"/>
      <c r="AB66" s="196"/>
      <c r="AC66" s="196"/>
      <c r="AD66" s="196"/>
      <c r="AE66" s="196"/>
      <c r="AF66" s="196"/>
      <c r="AG66" s="196"/>
      <c r="AH66" s="196"/>
      <c r="AI66" s="196"/>
      <c r="AJ66" s="196"/>
      <c r="AK66" s="197"/>
      <c r="AL66" s="197"/>
      <c r="AM66" s="197"/>
      <c r="AN66" s="197"/>
      <c r="AO66" s="197"/>
      <c r="AP66" s="197"/>
      <c r="AQ66" s="197"/>
      <c r="AR66" s="197"/>
      <c r="AS66" s="197"/>
      <c r="AT66" s="197"/>
      <c r="AU66" s="197"/>
      <c r="AV66" s="197"/>
      <c r="AW66" s="197"/>
      <c r="AX66" s="197"/>
      <c r="AY66" s="197"/>
      <c r="AZ66" s="197"/>
      <c r="BA66" s="197"/>
      <c r="BB66" s="197"/>
      <c r="BC66" s="197"/>
      <c r="BD66" s="197"/>
      <c r="BE66" s="197"/>
      <c r="BF66" s="197"/>
      <c r="BG66" s="197"/>
      <c r="BH66" s="197"/>
    </row>
    <row r="67" spans="1:60" s="198" customFormat="1" ht="11.25" customHeight="1" thickBot="1" x14ac:dyDescent="0.25">
      <c r="A67" s="355"/>
      <c r="B67" s="285">
        <v>6</v>
      </c>
      <c r="C67" s="224">
        <v>-0.1</v>
      </c>
      <c r="D67" s="224">
        <v>0</v>
      </c>
      <c r="E67" s="272"/>
      <c r="F67" s="286">
        <v>169.08536400000006</v>
      </c>
      <c r="G67" s="273">
        <v>6</v>
      </c>
      <c r="H67" s="225">
        <v>0.4</v>
      </c>
      <c r="I67" s="225">
        <v>0</v>
      </c>
      <c r="J67" s="226"/>
      <c r="K67" s="227">
        <v>185.19604999999993</v>
      </c>
      <c r="L67" s="228">
        <v>6</v>
      </c>
      <c r="M67" s="229">
        <v>-0.1</v>
      </c>
      <c r="N67" s="229">
        <v>0</v>
      </c>
      <c r="O67" s="230"/>
      <c r="P67" s="231">
        <v>179.57161400000001</v>
      </c>
      <c r="Q67" s="232">
        <v>6</v>
      </c>
      <c r="R67" s="123">
        <v>-0.1</v>
      </c>
      <c r="S67" s="123">
        <v>0</v>
      </c>
      <c r="T67" s="124"/>
      <c r="U67" s="125">
        <v>140.354274</v>
      </c>
      <c r="V67" s="207"/>
      <c r="W67" s="207"/>
      <c r="X67" s="207"/>
      <c r="Y67" s="217"/>
      <c r="Z67" s="196"/>
      <c r="AA67" s="196"/>
      <c r="AB67" s="196"/>
      <c r="AC67" s="196"/>
      <c r="AD67" s="196"/>
      <c r="AE67" s="196"/>
      <c r="AF67" s="196"/>
      <c r="AG67" s="196"/>
      <c r="AH67" s="196"/>
      <c r="AI67" s="196"/>
      <c r="AJ67" s="196"/>
      <c r="AK67" s="197"/>
      <c r="AL67" s="197"/>
      <c r="AM67" s="197"/>
      <c r="AN67" s="197"/>
      <c r="AO67" s="197"/>
      <c r="AP67" s="197"/>
      <c r="AQ67" s="197"/>
      <c r="AR67" s="197"/>
      <c r="AS67" s="197"/>
      <c r="AT67" s="197"/>
      <c r="AU67" s="197"/>
      <c r="AV67" s="197"/>
      <c r="AW67" s="197"/>
      <c r="AX67" s="197"/>
      <c r="AY67" s="197"/>
      <c r="AZ67" s="197"/>
      <c r="BA67" s="197"/>
      <c r="BB67" s="197"/>
      <c r="BC67" s="197"/>
      <c r="BD67" s="197"/>
      <c r="BE67" s="197"/>
      <c r="BF67" s="197"/>
      <c r="BG67" s="197"/>
      <c r="BH67" s="197"/>
    </row>
    <row r="68" spans="1:60" s="198" customFormat="1" ht="11.25" customHeight="1" x14ac:dyDescent="0.2">
      <c r="A68" s="222"/>
      <c r="B68" s="18"/>
      <c r="C68" s="18"/>
      <c r="D68" s="18"/>
      <c r="E68" s="18"/>
      <c r="F68" s="18"/>
      <c r="G68" s="194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94"/>
      <c r="W68" s="194"/>
      <c r="X68" s="194"/>
      <c r="Y68" s="196"/>
      <c r="Z68" s="196"/>
      <c r="AA68" s="196"/>
      <c r="AB68" s="196"/>
      <c r="AC68" s="196"/>
      <c r="AD68" s="196"/>
      <c r="AE68" s="196"/>
      <c r="AF68" s="196"/>
      <c r="AG68" s="196"/>
      <c r="AH68" s="196"/>
      <c r="AI68" s="196"/>
      <c r="AJ68" s="196"/>
      <c r="AK68" s="197"/>
      <c r="AL68" s="197"/>
      <c r="AM68" s="197"/>
      <c r="AN68" s="197"/>
      <c r="AO68" s="197"/>
      <c r="AP68" s="197"/>
      <c r="AQ68" s="197"/>
      <c r="AR68" s="197"/>
      <c r="AS68" s="197"/>
      <c r="AT68" s="197"/>
      <c r="AU68" s="197"/>
      <c r="AV68" s="197"/>
      <c r="AW68" s="197"/>
      <c r="AX68" s="197"/>
      <c r="AY68" s="197"/>
      <c r="AZ68" s="197"/>
      <c r="BA68" s="197"/>
      <c r="BB68" s="197"/>
      <c r="BC68" s="197"/>
      <c r="BD68" s="197"/>
      <c r="BE68" s="197"/>
      <c r="BF68" s="197"/>
      <c r="BG68" s="197"/>
      <c r="BH68" s="197"/>
    </row>
    <row r="69" spans="1:60" s="198" customFormat="1" ht="11.25" customHeight="1" x14ac:dyDescent="0.2">
      <c r="A69" s="41"/>
      <c r="B69" s="194"/>
      <c r="C69" s="18"/>
      <c r="D69" s="18"/>
      <c r="E69" s="18"/>
      <c r="F69" s="18"/>
      <c r="G69" s="194"/>
      <c r="H69" s="18"/>
      <c r="I69" s="223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6"/>
      <c r="Z69" s="196"/>
      <c r="AA69" s="196"/>
      <c r="AB69" s="196"/>
      <c r="AC69" s="196"/>
      <c r="AD69" s="196"/>
      <c r="AE69" s="196"/>
      <c r="AF69" s="196"/>
      <c r="AG69" s="196"/>
      <c r="AH69" s="196"/>
      <c r="AI69" s="196"/>
      <c r="AJ69" s="196"/>
      <c r="AK69" s="197"/>
      <c r="AL69" s="197"/>
      <c r="AM69" s="197"/>
      <c r="AN69" s="197"/>
      <c r="AO69" s="197"/>
      <c r="AP69" s="197"/>
      <c r="AQ69" s="197"/>
      <c r="AR69" s="197"/>
      <c r="AS69" s="197"/>
      <c r="AT69" s="197"/>
      <c r="AU69" s="197"/>
      <c r="AV69" s="197"/>
      <c r="AW69" s="197"/>
      <c r="AX69" s="197"/>
      <c r="AY69" s="197"/>
      <c r="AZ69" s="197"/>
      <c r="BA69" s="197"/>
      <c r="BB69" s="197"/>
      <c r="BC69" s="197"/>
      <c r="BD69" s="197"/>
      <c r="BE69" s="197"/>
      <c r="BF69" s="197"/>
      <c r="BG69" s="197"/>
      <c r="BH69" s="197"/>
    </row>
    <row r="70" spans="1:60" x14ac:dyDescent="0.25">
      <c r="A70" s="1"/>
      <c r="B70" s="1"/>
      <c r="C70" s="1"/>
      <c r="D70" s="10"/>
      <c r="E70" s="18"/>
      <c r="F70" s="18"/>
      <c r="G70" s="17"/>
      <c r="H70" s="17"/>
      <c r="I70" s="17"/>
      <c r="J70" s="17"/>
      <c r="K70" s="17"/>
      <c r="L70" s="43"/>
      <c r="M70" s="10"/>
      <c r="N70" s="10"/>
      <c r="O70" s="1"/>
      <c r="P70" s="1"/>
      <c r="Q70" s="1"/>
      <c r="R70" s="1"/>
      <c r="S70" s="1"/>
      <c r="T70" s="1"/>
      <c r="U70" s="1"/>
      <c r="V70" s="1"/>
      <c r="W70" s="1"/>
      <c r="X70" s="1"/>
      <c r="Y70" s="167"/>
      <c r="Z70" s="167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</row>
    <row r="71" spans="1:60" ht="11.25" customHeight="1" x14ac:dyDescent="0.25">
      <c r="A71" s="1"/>
      <c r="B71" s="1"/>
      <c r="C71" s="1"/>
      <c r="D71" s="10"/>
      <c r="E71" s="44"/>
      <c r="F71" s="18"/>
      <c r="G71" s="18"/>
      <c r="H71" s="18"/>
      <c r="I71" s="18"/>
      <c r="J71" s="18"/>
      <c r="K71" s="18"/>
      <c r="L71" s="18"/>
      <c r="M71" s="42"/>
      <c r="N71" s="10"/>
      <c r="O71" s="1"/>
      <c r="P71" s="1"/>
      <c r="Q71" s="1"/>
      <c r="R71" s="1"/>
      <c r="S71" s="1"/>
      <c r="T71" s="1"/>
      <c r="U71" s="1"/>
      <c r="V71" s="1"/>
      <c r="W71" s="1"/>
      <c r="X71" s="1"/>
      <c r="Y71" s="167"/>
      <c r="Z71" s="167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</row>
    <row r="72" spans="1:60" ht="11.25" customHeight="1" x14ac:dyDescent="0.25">
      <c r="A72" s="1"/>
      <c r="B72" s="1"/>
      <c r="C72" s="1"/>
      <c r="D72" s="10"/>
      <c r="E72" s="44"/>
      <c r="F72" s="18"/>
      <c r="G72" s="18"/>
      <c r="H72" s="18"/>
      <c r="I72" s="18"/>
      <c r="J72" s="18"/>
      <c r="K72" s="18"/>
      <c r="L72" s="18"/>
      <c r="M72" s="42"/>
      <c r="N72" s="10"/>
      <c r="O72" s="1"/>
      <c r="P72" s="1"/>
      <c r="Q72" s="1"/>
      <c r="R72" s="1"/>
      <c r="S72" s="1"/>
      <c r="T72" s="1"/>
      <c r="U72" s="1"/>
      <c r="V72" s="1"/>
      <c r="W72" s="1"/>
      <c r="X72" s="1"/>
      <c r="Y72" s="167"/>
      <c r="Z72" s="167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</row>
    <row r="73" spans="1:60" ht="11.25" customHeight="1" x14ac:dyDescent="0.25">
      <c r="A73" s="1"/>
      <c r="B73" s="1"/>
      <c r="C73" s="1"/>
      <c r="D73" s="10"/>
      <c r="E73" s="44"/>
      <c r="F73" s="18"/>
      <c r="G73" s="18"/>
      <c r="H73" s="18"/>
      <c r="I73" s="18"/>
      <c r="J73" s="18"/>
      <c r="K73" s="18"/>
      <c r="L73" s="18"/>
      <c r="M73" s="42"/>
      <c r="N73" s="10"/>
      <c r="O73" s="1"/>
      <c r="P73" s="1"/>
      <c r="Q73" s="1"/>
      <c r="R73" s="1"/>
      <c r="S73" s="1"/>
      <c r="T73" s="1"/>
      <c r="U73" s="1"/>
      <c r="V73" s="1"/>
      <c r="W73" s="1"/>
      <c r="X73" s="1"/>
      <c r="Y73" s="167"/>
      <c r="Z73" s="167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</row>
    <row r="74" spans="1:60" ht="11.25" customHeight="1" x14ac:dyDescent="0.25">
      <c r="A74" s="1"/>
      <c r="B74" s="1"/>
      <c r="C74" s="1"/>
      <c r="D74" s="10"/>
      <c r="E74" s="44"/>
      <c r="F74" s="18"/>
      <c r="G74" s="18"/>
      <c r="H74" s="18"/>
      <c r="I74" s="18"/>
      <c r="J74" s="18"/>
      <c r="K74" s="18"/>
      <c r="L74" s="18"/>
      <c r="M74" s="42"/>
      <c r="N74" s="10"/>
      <c r="O74" s="1"/>
      <c r="P74" s="1"/>
      <c r="Q74" s="1"/>
      <c r="R74" s="1"/>
      <c r="S74" s="1"/>
      <c r="T74" s="1"/>
      <c r="U74" s="1"/>
      <c r="V74" s="1"/>
      <c r="W74" s="1"/>
      <c r="X74" s="1"/>
      <c r="Y74" s="167"/>
      <c r="Z74" s="167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</row>
    <row r="75" spans="1:60" ht="11.25" customHeight="1" x14ac:dyDescent="0.25">
      <c r="A75" s="1"/>
      <c r="B75" s="1"/>
      <c r="C75" s="1"/>
      <c r="D75" s="10"/>
      <c r="E75" s="44"/>
      <c r="F75" s="18"/>
      <c r="G75" s="18"/>
      <c r="H75" s="18"/>
      <c r="I75" s="18"/>
      <c r="J75" s="18"/>
      <c r="K75" s="18"/>
      <c r="L75" s="18"/>
      <c r="M75" s="42"/>
      <c r="N75" s="10"/>
      <c r="O75" s="1"/>
      <c r="P75" s="1"/>
      <c r="Q75" s="1"/>
      <c r="R75" s="1"/>
      <c r="S75" s="1"/>
      <c r="T75" s="1"/>
      <c r="U75" s="1"/>
      <c r="V75" s="1"/>
      <c r="W75" s="1"/>
      <c r="X75" s="1"/>
      <c r="Y75" s="167"/>
      <c r="Z75" s="167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</row>
    <row r="76" spans="1:60" ht="11.25" customHeight="1" x14ac:dyDescent="0.25">
      <c r="A76" s="1"/>
      <c r="B76" s="1"/>
      <c r="C76" s="1"/>
      <c r="D76" s="10"/>
      <c r="E76" s="44"/>
      <c r="F76" s="18"/>
      <c r="G76" s="18"/>
      <c r="H76" s="18"/>
      <c r="I76" s="18"/>
      <c r="J76" s="18"/>
      <c r="K76" s="18"/>
      <c r="L76" s="18"/>
      <c r="M76" s="42"/>
      <c r="N76" s="10"/>
      <c r="O76" s="1"/>
      <c r="P76" s="1"/>
      <c r="Q76" s="1"/>
      <c r="R76" s="1"/>
      <c r="S76" s="1"/>
      <c r="T76" s="1"/>
      <c r="U76" s="1"/>
      <c r="V76" s="1"/>
      <c r="W76" s="1"/>
      <c r="X76" s="1"/>
      <c r="Y76" s="167"/>
      <c r="Z76" s="167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</row>
    <row r="77" spans="1:60" ht="11.25" customHeight="1" x14ac:dyDescent="0.25">
      <c r="A77" s="1"/>
      <c r="B77" s="1"/>
      <c r="C77" s="1"/>
      <c r="D77" s="10"/>
      <c r="E77" s="44"/>
      <c r="F77" s="18"/>
      <c r="G77" s="18"/>
      <c r="H77" s="18"/>
      <c r="I77" s="18"/>
      <c r="J77" s="18"/>
      <c r="K77" s="18"/>
      <c r="L77" s="18"/>
      <c r="M77" s="42"/>
      <c r="N77" s="10"/>
      <c r="O77" s="1"/>
      <c r="P77" s="1"/>
      <c r="Q77" s="1"/>
      <c r="R77" s="1"/>
      <c r="S77" s="1"/>
      <c r="T77" s="1"/>
      <c r="U77" s="1"/>
      <c r="V77" s="1"/>
      <c r="W77" s="1"/>
      <c r="X77" s="1"/>
      <c r="Y77" s="167"/>
      <c r="Z77" s="167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</row>
    <row r="78" spans="1:60" ht="11.25" customHeight="1" x14ac:dyDescent="0.25">
      <c r="A78" s="1"/>
      <c r="B78" s="1"/>
      <c r="C78" s="1"/>
      <c r="D78" s="10"/>
      <c r="E78" s="44"/>
      <c r="F78" s="18"/>
      <c r="G78" s="18"/>
      <c r="H78" s="18"/>
      <c r="I78" s="18"/>
      <c r="J78" s="18"/>
      <c r="K78" s="18"/>
      <c r="L78" s="18"/>
      <c r="M78" s="42"/>
      <c r="N78" s="10"/>
      <c r="O78" s="1"/>
      <c r="P78" s="1"/>
      <c r="Q78" s="1"/>
      <c r="R78" s="1"/>
      <c r="S78" s="1"/>
      <c r="T78" s="1"/>
      <c r="U78" s="1"/>
      <c r="V78" s="1"/>
      <c r="W78" s="1"/>
      <c r="X78" s="1"/>
      <c r="Y78" s="167"/>
      <c r="Z78" s="167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</row>
    <row r="79" spans="1:60" ht="11.25" customHeight="1" x14ac:dyDescent="0.25">
      <c r="A79" s="1"/>
      <c r="B79" s="1"/>
      <c r="C79" s="1"/>
      <c r="D79" s="10"/>
      <c r="E79" s="44"/>
      <c r="F79" s="18"/>
      <c r="G79" s="18"/>
      <c r="H79" s="18"/>
      <c r="I79" s="18"/>
      <c r="J79" s="18"/>
      <c r="K79" s="18"/>
      <c r="L79" s="18"/>
      <c r="M79" s="42"/>
      <c r="N79" s="10"/>
      <c r="O79" s="1"/>
      <c r="P79" s="1"/>
      <c r="Q79" s="1"/>
      <c r="R79" s="1"/>
      <c r="S79" s="1"/>
      <c r="T79" s="1"/>
      <c r="U79" s="1"/>
      <c r="V79" s="1"/>
      <c r="W79" s="1"/>
      <c r="X79" s="1"/>
      <c r="Y79" s="167"/>
      <c r="Z79" s="167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</row>
    <row r="80" spans="1:60" ht="11.25" customHeight="1" x14ac:dyDescent="0.25">
      <c r="A80" s="1"/>
      <c r="B80" s="1"/>
      <c r="C80" s="1"/>
      <c r="D80" s="10"/>
      <c r="E80" s="44"/>
      <c r="F80" s="18"/>
      <c r="G80" s="18"/>
      <c r="H80" s="18"/>
      <c r="I80" s="18"/>
      <c r="J80" s="18"/>
      <c r="K80" s="18"/>
      <c r="L80" s="18"/>
      <c r="M80" s="42"/>
      <c r="N80" s="10"/>
      <c r="O80" s="1"/>
      <c r="P80" s="1"/>
      <c r="Q80" s="1"/>
      <c r="R80" s="1"/>
      <c r="S80" s="1"/>
      <c r="T80" s="1"/>
      <c r="U80" s="1"/>
      <c r="V80" s="1"/>
      <c r="W80" s="1"/>
      <c r="X80" s="1"/>
      <c r="Y80" s="167"/>
      <c r="Z80" s="167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</row>
    <row r="81" spans="1:36" ht="11.25" customHeight="1" x14ac:dyDescent="0.25">
      <c r="A81" s="1"/>
      <c r="B81" s="1"/>
      <c r="C81" s="1"/>
      <c r="D81" s="10"/>
      <c r="E81" s="44"/>
      <c r="F81" s="18"/>
      <c r="G81" s="18"/>
      <c r="H81" s="18"/>
      <c r="I81" s="18"/>
      <c r="J81" s="18"/>
      <c r="K81" s="18"/>
      <c r="L81" s="18"/>
      <c r="M81" s="42"/>
      <c r="N81" s="10"/>
      <c r="O81" s="1"/>
      <c r="P81" s="1"/>
      <c r="Q81" s="1"/>
      <c r="R81" s="1"/>
      <c r="S81" s="1"/>
      <c r="T81" s="1"/>
      <c r="U81" s="1"/>
      <c r="V81" s="1"/>
      <c r="W81" s="1"/>
      <c r="X81" s="1"/>
      <c r="Y81" s="167"/>
      <c r="Z81" s="167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</row>
    <row r="82" spans="1:36" ht="11.25" customHeight="1" x14ac:dyDescent="0.25">
      <c r="A82" s="1"/>
      <c r="B82" s="1"/>
      <c r="C82" s="1"/>
      <c r="D82" s="10"/>
      <c r="E82" s="44"/>
      <c r="F82" s="18"/>
      <c r="G82" s="18"/>
      <c r="H82" s="18"/>
      <c r="I82" s="18"/>
      <c r="J82" s="18"/>
      <c r="K82" s="18"/>
      <c r="L82" s="18"/>
      <c r="M82" s="42"/>
      <c r="N82" s="10"/>
      <c r="O82" s="1"/>
      <c r="P82" s="1"/>
      <c r="Q82" s="1"/>
      <c r="R82" s="1"/>
      <c r="S82" s="1"/>
      <c r="T82" s="1"/>
      <c r="U82" s="1"/>
      <c r="V82" s="1"/>
      <c r="W82" s="1"/>
      <c r="X82" s="1"/>
      <c r="Y82" s="167"/>
      <c r="Z82" s="167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</row>
    <row r="83" spans="1:36" ht="11.25" customHeight="1" x14ac:dyDescent="0.25">
      <c r="A83" s="1"/>
      <c r="B83" s="1"/>
      <c r="C83" s="1"/>
      <c r="D83" s="10"/>
      <c r="E83" s="44"/>
      <c r="F83" s="18"/>
      <c r="G83" s="18"/>
      <c r="H83" s="18"/>
      <c r="I83" s="18"/>
      <c r="J83" s="18"/>
      <c r="K83" s="18"/>
      <c r="L83" s="18"/>
      <c r="M83" s="42"/>
      <c r="N83" s="10"/>
      <c r="O83" s="1"/>
      <c r="P83" s="1"/>
      <c r="Q83" s="1"/>
      <c r="R83" s="1"/>
      <c r="S83" s="1"/>
      <c r="T83" s="1"/>
      <c r="U83" s="1"/>
      <c r="V83" s="1"/>
      <c r="W83" s="1"/>
      <c r="X83" s="1"/>
      <c r="Y83" s="167"/>
      <c r="Z83" s="167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</row>
    <row r="84" spans="1:36" ht="11.25" customHeight="1" x14ac:dyDescent="0.25">
      <c r="A84" s="1"/>
      <c r="B84" s="1"/>
      <c r="C84" s="1"/>
      <c r="D84" s="10"/>
      <c r="E84" s="44"/>
      <c r="F84" s="18"/>
      <c r="G84" s="18"/>
      <c r="H84" s="18"/>
      <c r="I84" s="18"/>
      <c r="J84" s="18"/>
      <c r="K84" s="18"/>
      <c r="L84" s="18"/>
      <c r="M84" s="42"/>
      <c r="N84" s="10"/>
      <c r="O84" s="1"/>
      <c r="P84" s="1"/>
      <c r="Q84" s="1"/>
      <c r="R84" s="1"/>
      <c r="S84" s="1"/>
      <c r="T84" s="1"/>
      <c r="U84" s="1"/>
      <c r="V84" s="1"/>
      <c r="W84" s="1"/>
      <c r="X84" s="1"/>
      <c r="Y84" s="167"/>
      <c r="Z84" s="167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</row>
    <row r="85" spans="1:36" ht="11.25" customHeight="1" x14ac:dyDescent="0.25">
      <c r="A85" s="1"/>
      <c r="B85" s="1"/>
      <c r="C85" s="1"/>
      <c r="D85" s="10"/>
      <c r="E85" s="44"/>
      <c r="F85" s="18"/>
      <c r="G85" s="18"/>
      <c r="H85" s="18"/>
      <c r="I85" s="18"/>
      <c r="J85" s="18"/>
      <c r="K85" s="18"/>
      <c r="L85" s="18"/>
      <c r="M85" s="42"/>
      <c r="N85" s="10"/>
      <c r="O85" s="1"/>
      <c r="P85" s="1"/>
      <c r="Q85" s="1"/>
      <c r="R85" s="1"/>
      <c r="S85" s="1"/>
      <c r="T85" s="1"/>
      <c r="U85" s="1"/>
      <c r="V85" s="1"/>
      <c r="W85" s="1"/>
      <c r="X85" s="1"/>
      <c r="Y85" s="167"/>
      <c r="Z85" s="167"/>
      <c r="AA85" s="171"/>
      <c r="AB85" s="171"/>
      <c r="AC85" s="171"/>
      <c r="AD85" s="171"/>
      <c r="AE85" s="171"/>
      <c r="AF85" s="171"/>
      <c r="AG85" s="171"/>
      <c r="AH85" s="171"/>
      <c r="AI85" s="171"/>
      <c r="AJ85" s="171"/>
    </row>
    <row r="86" spans="1:36" ht="11.25" customHeight="1" x14ac:dyDescent="0.25">
      <c r="A86" s="1"/>
      <c r="B86" s="1"/>
      <c r="C86" s="1"/>
      <c r="D86" s="10"/>
      <c r="E86" s="44"/>
      <c r="F86" s="18"/>
      <c r="G86" s="18"/>
      <c r="H86" s="18"/>
      <c r="I86" s="18"/>
      <c r="J86" s="18"/>
      <c r="K86" s="18"/>
      <c r="L86" s="18"/>
      <c r="M86" s="42"/>
      <c r="N86" s="10"/>
      <c r="O86" s="1"/>
      <c r="P86" s="1"/>
      <c r="Q86" s="1"/>
      <c r="R86" s="1"/>
      <c r="S86" s="1"/>
      <c r="T86" s="1"/>
      <c r="U86" s="1"/>
      <c r="V86" s="1"/>
      <c r="W86" s="1"/>
      <c r="X86" s="1"/>
      <c r="Y86" s="167"/>
      <c r="Z86" s="167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</row>
    <row r="87" spans="1:36" ht="11.25" customHeight="1" x14ac:dyDescent="0.25">
      <c r="A87" s="1"/>
      <c r="B87" s="1"/>
      <c r="C87" s="1"/>
      <c r="D87" s="10"/>
      <c r="E87" s="44"/>
      <c r="F87" s="18"/>
      <c r="G87" s="18"/>
      <c r="H87" s="18"/>
      <c r="I87" s="18"/>
      <c r="J87" s="18"/>
      <c r="K87" s="18"/>
      <c r="L87" s="18"/>
      <c r="M87" s="42"/>
      <c r="N87" s="10"/>
      <c r="O87" s="1"/>
      <c r="P87" s="1"/>
      <c r="Q87" s="1"/>
      <c r="R87" s="1"/>
      <c r="S87" s="1"/>
      <c r="T87" s="1"/>
      <c r="U87" s="1"/>
      <c r="V87" s="1"/>
      <c r="W87" s="1"/>
      <c r="X87" s="1"/>
      <c r="Y87" s="167"/>
      <c r="Z87" s="167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</row>
    <row r="88" spans="1:36" ht="11.25" customHeight="1" x14ac:dyDescent="0.25">
      <c r="A88" s="1"/>
      <c r="B88" s="1"/>
      <c r="C88" s="1"/>
      <c r="D88" s="10"/>
      <c r="E88" s="44"/>
      <c r="F88" s="18"/>
      <c r="G88" s="18"/>
      <c r="H88" s="18"/>
      <c r="I88" s="18"/>
      <c r="J88" s="18"/>
      <c r="K88" s="18"/>
      <c r="L88" s="18"/>
      <c r="M88" s="42"/>
      <c r="N88" s="10"/>
      <c r="O88" s="1"/>
      <c r="P88" s="1"/>
      <c r="Q88" s="1"/>
      <c r="R88" s="1"/>
      <c r="S88" s="1"/>
      <c r="T88" s="1"/>
      <c r="U88" s="1"/>
      <c r="V88" s="1"/>
      <c r="W88" s="1"/>
      <c r="X88" s="1"/>
      <c r="Y88" s="167"/>
      <c r="Z88" s="167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</row>
    <row r="89" spans="1:36" ht="11.25" customHeight="1" x14ac:dyDescent="0.25">
      <c r="A89" s="1"/>
      <c r="B89" s="1"/>
      <c r="C89" s="1"/>
      <c r="D89" s="10"/>
      <c r="E89" s="44"/>
      <c r="F89" s="18"/>
      <c r="G89" s="18"/>
      <c r="H89" s="18"/>
      <c r="I89" s="18"/>
      <c r="J89" s="18"/>
      <c r="K89" s="18"/>
      <c r="L89" s="18"/>
      <c r="M89" s="42"/>
      <c r="N89" s="10"/>
      <c r="O89" s="1"/>
      <c r="P89" s="1"/>
      <c r="Q89" s="1"/>
      <c r="R89" s="1"/>
      <c r="S89" s="1"/>
      <c r="T89" s="1"/>
      <c r="U89" s="1"/>
      <c r="V89" s="1"/>
      <c r="W89" s="1"/>
      <c r="X89" s="1"/>
      <c r="Y89" s="167"/>
      <c r="Z89" s="167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</row>
    <row r="90" spans="1:36" ht="11.25" customHeight="1" x14ac:dyDescent="0.25">
      <c r="A90" s="1"/>
      <c r="B90" s="1"/>
      <c r="C90" s="1"/>
      <c r="D90" s="10"/>
      <c r="E90" s="44"/>
      <c r="F90" s="18"/>
      <c r="G90" s="18"/>
      <c r="H90" s="18"/>
      <c r="I90" s="18"/>
      <c r="J90" s="18"/>
      <c r="K90" s="18"/>
      <c r="L90" s="18"/>
      <c r="M90" s="42"/>
      <c r="N90" s="10"/>
      <c r="O90" s="1"/>
      <c r="P90" s="1"/>
      <c r="Q90" s="1"/>
      <c r="R90" s="1"/>
      <c r="S90" s="1"/>
      <c r="T90" s="1"/>
      <c r="U90" s="1"/>
      <c r="V90" s="1"/>
      <c r="W90" s="1"/>
      <c r="X90" s="1"/>
      <c r="Y90" s="167"/>
      <c r="Z90" s="167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</row>
    <row r="91" spans="1:36" ht="11.25" customHeight="1" x14ac:dyDescent="0.25">
      <c r="A91" s="1"/>
      <c r="B91" s="1"/>
      <c r="C91" s="1"/>
      <c r="D91" s="10"/>
      <c r="E91" s="44"/>
      <c r="F91" s="18"/>
      <c r="G91" s="18"/>
      <c r="H91" s="18"/>
      <c r="I91" s="18"/>
      <c r="J91" s="18"/>
      <c r="K91" s="18"/>
      <c r="L91" s="18"/>
      <c r="M91" s="42"/>
      <c r="N91" s="10"/>
      <c r="O91" s="1"/>
      <c r="P91" s="1"/>
      <c r="Q91" s="1"/>
      <c r="R91" s="1"/>
      <c r="S91" s="1"/>
      <c r="T91" s="1"/>
      <c r="U91" s="1"/>
      <c r="V91" s="1"/>
      <c r="W91" s="1"/>
      <c r="X91" s="1"/>
      <c r="Y91" s="167"/>
      <c r="Z91" s="167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</row>
    <row r="92" spans="1:36" ht="11.25" customHeight="1" x14ac:dyDescent="0.25">
      <c r="A92" s="1"/>
      <c r="B92" s="1"/>
      <c r="C92" s="1"/>
      <c r="D92" s="10"/>
      <c r="E92" s="44"/>
      <c r="F92" s="18"/>
      <c r="G92" s="18"/>
      <c r="H92" s="18"/>
      <c r="I92" s="18"/>
      <c r="J92" s="18"/>
      <c r="K92" s="18"/>
      <c r="L92" s="18"/>
      <c r="M92" s="42"/>
      <c r="N92" s="10"/>
      <c r="O92" s="1"/>
      <c r="P92" s="1"/>
      <c r="Q92" s="1"/>
      <c r="R92" s="1"/>
      <c r="S92" s="1"/>
      <c r="T92" s="1"/>
      <c r="U92" s="1"/>
      <c r="V92" s="1"/>
      <c r="W92" s="1"/>
      <c r="X92" s="1"/>
      <c r="Y92" s="167"/>
      <c r="Z92" s="167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</row>
    <row r="93" spans="1:36" ht="11.25" customHeight="1" x14ac:dyDescent="0.25">
      <c r="A93" s="1"/>
      <c r="B93" s="1"/>
      <c r="C93" s="1"/>
      <c r="D93" s="10"/>
      <c r="E93" s="44"/>
      <c r="F93" s="18"/>
      <c r="G93" s="18"/>
      <c r="H93" s="18"/>
      <c r="I93" s="18"/>
      <c r="J93" s="18"/>
      <c r="K93" s="18"/>
      <c r="L93" s="18"/>
      <c r="M93" s="42"/>
      <c r="N93" s="10"/>
      <c r="O93" s="1"/>
      <c r="P93" s="1"/>
      <c r="Q93" s="1"/>
      <c r="R93" s="1"/>
      <c r="S93" s="1"/>
      <c r="T93" s="1"/>
      <c r="U93" s="1"/>
      <c r="V93" s="1"/>
      <c r="W93" s="1"/>
      <c r="X93" s="1"/>
      <c r="Y93" s="167"/>
      <c r="Z93" s="167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</row>
    <row r="94" spans="1:36" ht="11.25" customHeight="1" x14ac:dyDescent="0.25">
      <c r="A94" s="1"/>
      <c r="B94" s="1"/>
      <c r="C94" s="1"/>
      <c r="D94" s="10"/>
      <c r="E94" s="44"/>
      <c r="F94" s="18"/>
      <c r="G94" s="18"/>
      <c r="H94" s="18"/>
      <c r="I94" s="18"/>
      <c r="J94" s="18"/>
      <c r="K94" s="18"/>
      <c r="L94" s="18"/>
      <c r="M94" s="42"/>
      <c r="N94" s="10"/>
      <c r="O94" s="1"/>
      <c r="P94" s="1"/>
      <c r="Q94" s="1"/>
      <c r="R94" s="1"/>
      <c r="S94" s="1"/>
      <c r="T94" s="1"/>
      <c r="U94" s="1"/>
      <c r="V94" s="1"/>
      <c r="W94" s="1"/>
      <c r="X94" s="1"/>
      <c r="Y94" s="167"/>
      <c r="Z94" s="167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</row>
    <row r="95" spans="1:36" ht="11.25" customHeight="1" x14ac:dyDescent="0.25">
      <c r="A95" s="1"/>
      <c r="B95" s="1"/>
      <c r="C95" s="1"/>
      <c r="D95" s="10"/>
      <c r="E95" s="44"/>
      <c r="F95" s="18"/>
      <c r="G95" s="18"/>
      <c r="H95" s="18"/>
      <c r="I95" s="18"/>
      <c r="J95" s="18"/>
      <c r="K95" s="18"/>
      <c r="L95" s="18"/>
      <c r="M95" s="42"/>
      <c r="N95" s="10"/>
      <c r="O95" s="1"/>
      <c r="P95" s="1"/>
      <c r="Q95" s="1"/>
      <c r="R95" s="1"/>
      <c r="S95" s="1"/>
      <c r="T95" s="1"/>
      <c r="U95" s="1"/>
      <c r="V95" s="1"/>
      <c r="W95" s="1"/>
      <c r="X95" s="1"/>
      <c r="Y95" s="167"/>
      <c r="Z95" s="167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</row>
    <row r="96" spans="1:36" ht="11.25" customHeight="1" x14ac:dyDescent="0.25">
      <c r="A96" s="1"/>
      <c r="B96" s="1"/>
      <c r="C96" s="1"/>
      <c r="D96" s="10"/>
      <c r="E96" s="44"/>
      <c r="F96" s="18"/>
      <c r="G96" s="18"/>
      <c r="H96" s="18"/>
      <c r="I96" s="18"/>
      <c r="J96" s="18"/>
      <c r="K96" s="18"/>
      <c r="L96" s="18"/>
      <c r="M96" s="42"/>
      <c r="N96" s="10"/>
      <c r="O96" s="1"/>
      <c r="P96" s="1"/>
      <c r="Q96" s="1"/>
      <c r="R96" s="1"/>
      <c r="S96" s="1"/>
      <c r="T96" s="1"/>
      <c r="U96" s="1"/>
      <c r="V96" s="1"/>
      <c r="W96" s="1"/>
      <c r="X96" s="1"/>
      <c r="Y96" s="167"/>
      <c r="Z96" s="167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</row>
    <row r="97" spans="1:36" ht="11.25" customHeight="1" x14ac:dyDescent="0.25">
      <c r="A97" s="1"/>
      <c r="B97" s="1"/>
      <c r="C97" s="1"/>
      <c r="D97" s="10"/>
      <c r="E97" s="44"/>
      <c r="F97" s="18"/>
      <c r="G97" s="18"/>
      <c r="H97" s="18"/>
      <c r="I97" s="18"/>
      <c r="J97" s="18"/>
      <c r="K97" s="18"/>
      <c r="L97" s="18"/>
      <c r="M97" s="42"/>
      <c r="N97" s="10"/>
      <c r="O97" s="1"/>
      <c r="P97" s="1"/>
      <c r="Q97" s="1"/>
      <c r="R97" s="1"/>
      <c r="S97" s="1"/>
      <c r="T97" s="1"/>
      <c r="U97" s="1"/>
      <c r="V97" s="1"/>
      <c r="W97" s="1"/>
      <c r="X97" s="1"/>
      <c r="Y97" s="167"/>
      <c r="Z97" s="167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</row>
    <row r="98" spans="1:36" ht="11.25" customHeight="1" x14ac:dyDescent="0.25">
      <c r="A98" s="1"/>
      <c r="B98" s="1"/>
      <c r="C98" s="1"/>
      <c r="D98" s="10"/>
      <c r="E98" s="44"/>
      <c r="F98" s="18"/>
      <c r="G98" s="18"/>
      <c r="H98" s="18"/>
      <c r="I98" s="18"/>
      <c r="J98" s="18"/>
      <c r="K98" s="18"/>
      <c r="L98" s="18"/>
      <c r="M98" s="42"/>
      <c r="N98" s="10"/>
      <c r="O98" s="1"/>
      <c r="P98" s="1"/>
      <c r="Q98" s="1"/>
      <c r="R98" s="1"/>
      <c r="S98" s="1"/>
      <c r="T98" s="1"/>
      <c r="U98" s="1"/>
      <c r="V98" s="1"/>
      <c r="W98" s="1"/>
      <c r="X98" s="1"/>
      <c r="Y98" s="167"/>
      <c r="Z98" s="167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</row>
    <row r="99" spans="1:36" ht="11.25" customHeight="1" x14ac:dyDescent="0.25">
      <c r="A99" s="1"/>
      <c r="B99" s="1"/>
      <c r="C99" s="1"/>
      <c r="D99" s="10"/>
      <c r="E99" s="44"/>
      <c r="F99" s="18"/>
      <c r="G99" s="18"/>
      <c r="H99" s="18"/>
      <c r="I99" s="18"/>
      <c r="J99" s="18"/>
      <c r="K99" s="18"/>
      <c r="L99" s="18"/>
      <c r="M99" s="42"/>
      <c r="N99" s="10"/>
      <c r="O99" s="1"/>
      <c r="P99" s="1"/>
      <c r="Q99" s="1"/>
      <c r="R99" s="1"/>
      <c r="S99" s="1"/>
      <c r="T99" s="1"/>
      <c r="U99" s="1"/>
      <c r="V99" s="1"/>
      <c r="W99" s="1"/>
      <c r="X99" s="1"/>
      <c r="Y99" s="167"/>
      <c r="Z99" s="167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</row>
    <row r="100" spans="1:36" ht="11.25" customHeight="1" x14ac:dyDescent="0.25">
      <c r="A100" s="1"/>
      <c r="B100" s="1"/>
      <c r="C100" s="1"/>
      <c r="D100" s="10"/>
      <c r="E100" s="44"/>
      <c r="F100" s="18"/>
      <c r="G100" s="18"/>
      <c r="H100" s="18"/>
      <c r="I100" s="18"/>
      <c r="J100" s="18"/>
      <c r="K100" s="18"/>
      <c r="L100" s="18"/>
      <c r="M100" s="42"/>
      <c r="N100" s="10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67"/>
      <c r="Z100" s="167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</row>
    <row r="101" spans="1:36" ht="11.25" customHeight="1" x14ac:dyDescent="0.25">
      <c r="A101" s="1"/>
      <c r="B101" s="1"/>
      <c r="C101" s="1"/>
      <c r="D101" s="10"/>
      <c r="E101" s="44"/>
      <c r="F101" s="18"/>
      <c r="G101" s="18"/>
      <c r="H101" s="18"/>
      <c r="I101" s="18"/>
      <c r="J101" s="18"/>
      <c r="K101" s="18"/>
      <c r="L101" s="18"/>
      <c r="M101" s="42"/>
      <c r="N101" s="10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67"/>
      <c r="Z101" s="167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</row>
    <row r="102" spans="1:36" ht="11.25" customHeight="1" x14ac:dyDescent="0.25">
      <c r="A102" s="1"/>
      <c r="B102" s="1"/>
      <c r="C102" s="1"/>
      <c r="D102" s="10"/>
      <c r="E102" s="44"/>
      <c r="F102" s="18"/>
      <c r="G102" s="18"/>
      <c r="H102" s="18"/>
      <c r="I102" s="18"/>
      <c r="J102" s="18"/>
      <c r="K102" s="18"/>
      <c r="L102" s="18"/>
      <c r="M102" s="42"/>
      <c r="N102" s="10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67"/>
      <c r="Z102" s="167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</row>
    <row r="103" spans="1:36" ht="11.25" customHeight="1" x14ac:dyDescent="0.25">
      <c r="A103" s="1"/>
      <c r="B103" s="1"/>
      <c r="C103" s="1"/>
      <c r="D103" s="10"/>
      <c r="E103" s="44"/>
      <c r="F103" s="18"/>
      <c r="G103" s="18"/>
      <c r="H103" s="18"/>
      <c r="I103" s="18"/>
      <c r="J103" s="18"/>
      <c r="K103" s="18"/>
      <c r="L103" s="18"/>
      <c r="M103" s="42"/>
      <c r="N103" s="10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67"/>
      <c r="Z103" s="167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</row>
    <row r="104" spans="1:36" ht="11.25" customHeight="1" x14ac:dyDescent="0.25">
      <c r="A104" s="1"/>
      <c r="B104" s="1"/>
      <c r="C104" s="1"/>
      <c r="D104" s="10"/>
      <c r="E104" s="44"/>
      <c r="F104" s="18"/>
      <c r="G104" s="18"/>
      <c r="H104" s="18"/>
      <c r="I104" s="18"/>
      <c r="J104" s="18"/>
      <c r="K104" s="18"/>
      <c r="L104" s="18"/>
      <c r="M104" s="42"/>
      <c r="N104" s="10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67"/>
      <c r="Z104" s="167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</row>
    <row r="105" spans="1:36" ht="11.25" customHeight="1" x14ac:dyDescent="0.25">
      <c r="A105" s="1"/>
      <c r="B105" s="1"/>
      <c r="C105" s="1"/>
      <c r="D105" s="10"/>
      <c r="E105" s="44"/>
      <c r="F105" s="18"/>
      <c r="G105" s="18"/>
      <c r="H105" s="18"/>
      <c r="I105" s="18"/>
      <c r="J105" s="18"/>
      <c r="K105" s="18"/>
      <c r="L105" s="18"/>
      <c r="M105" s="42"/>
      <c r="N105" s="10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67"/>
      <c r="Z105" s="167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</row>
    <row r="106" spans="1:36" ht="11.25" customHeight="1" x14ac:dyDescent="0.25">
      <c r="A106" s="1"/>
      <c r="B106" s="1"/>
      <c r="C106" s="1"/>
      <c r="D106" s="10"/>
      <c r="E106" s="44"/>
      <c r="F106" s="18"/>
      <c r="G106" s="18"/>
      <c r="H106" s="18"/>
      <c r="I106" s="18"/>
      <c r="J106" s="18"/>
      <c r="K106" s="18"/>
      <c r="L106" s="18"/>
      <c r="M106" s="42"/>
      <c r="N106" s="10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67"/>
      <c r="Z106" s="167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</row>
    <row r="107" spans="1:36" ht="11.25" customHeight="1" x14ac:dyDescent="0.25">
      <c r="A107" s="1"/>
      <c r="B107" s="1"/>
      <c r="C107" s="1"/>
      <c r="D107" s="10"/>
      <c r="E107" s="44"/>
      <c r="F107" s="18"/>
      <c r="G107" s="18"/>
      <c r="H107" s="18"/>
      <c r="I107" s="18"/>
      <c r="J107" s="18"/>
      <c r="K107" s="18"/>
      <c r="L107" s="18"/>
      <c r="M107" s="42"/>
      <c r="N107" s="10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67"/>
      <c r="Z107" s="167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</row>
    <row r="108" spans="1:36" ht="11.25" customHeight="1" x14ac:dyDescent="0.25">
      <c r="A108" s="1"/>
      <c r="B108" s="1"/>
      <c r="C108" s="1"/>
      <c r="D108" s="10"/>
      <c r="E108" s="44"/>
      <c r="F108" s="18"/>
      <c r="G108" s="18"/>
      <c r="H108" s="18"/>
      <c r="I108" s="18"/>
      <c r="J108" s="18"/>
      <c r="K108" s="18"/>
      <c r="L108" s="18"/>
      <c r="M108" s="42"/>
      <c r="N108" s="10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67"/>
      <c r="Z108" s="167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</row>
    <row r="109" spans="1:36" ht="11.25" customHeight="1" x14ac:dyDescent="0.25">
      <c r="A109" s="1"/>
      <c r="B109" s="1"/>
      <c r="C109" s="1"/>
      <c r="D109" s="10"/>
      <c r="E109" s="44"/>
      <c r="F109" s="18"/>
      <c r="G109" s="18"/>
      <c r="H109" s="18"/>
      <c r="I109" s="18"/>
      <c r="J109" s="18"/>
      <c r="K109" s="18"/>
      <c r="L109" s="18"/>
      <c r="M109" s="42"/>
      <c r="N109" s="10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67"/>
      <c r="Z109" s="167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</row>
    <row r="110" spans="1:36" ht="11.25" customHeight="1" x14ac:dyDescent="0.25">
      <c r="A110" s="1"/>
      <c r="B110" s="1"/>
      <c r="C110" s="1"/>
      <c r="D110" s="10"/>
      <c r="E110" s="44"/>
      <c r="F110" s="18"/>
      <c r="G110" s="18"/>
      <c r="H110" s="18"/>
      <c r="I110" s="18"/>
      <c r="J110" s="18"/>
      <c r="K110" s="18"/>
      <c r="L110" s="18"/>
      <c r="M110" s="42"/>
      <c r="N110" s="10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67"/>
      <c r="Z110" s="167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</row>
    <row r="111" spans="1:36" ht="11.25" customHeight="1" x14ac:dyDescent="0.25">
      <c r="A111" s="1"/>
      <c r="B111" s="1"/>
      <c r="C111" s="1"/>
      <c r="D111" s="10"/>
      <c r="E111" s="44"/>
      <c r="F111" s="18"/>
      <c r="G111" s="18"/>
      <c r="H111" s="18"/>
      <c r="I111" s="18"/>
      <c r="J111" s="18"/>
      <c r="K111" s="18"/>
      <c r="L111" s="18"/>
      <c r="M111" s="42"/>
      <c r="N111" s="10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67"/>
      <c r="Z111" s="167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</row>
    <row r="112" spans="1:36" ht="11.25" customHeight="1" x14ac:dyDescent="0.25">
      <c r="A112" s="1"/>
      <c r="B112" s="1"/>
      <c r="C112" s="1"/>
      <c r="D112" s="10"/>
      <c r="E112" s="44"/>
      <c r="F112" s="18"/>
      <c r="G112" s="18"/>
      <c r="H112" s="18"/>
      <c r="I112" s="18"/>
      <c r="J112" s="18"/>
      <c r="K112" s="18"/>
      <c r="L112" s="18"/>
      <c r="M112" s="42"/>
      <c r="N112" s="10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67"/>
      <c r="Z112" s="167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</row>
    <row r="113" spans="1:36" ht="11.25" customHeight="1" x14ac:dyDescent="0.25">
      <c r="A113" s="1"/>
      <c r="B113" s="1"/>
      <c r="C113" s="1"/>
      <c r="D113" s="10"/>
      <c r="E113" s="44"/>
      <c r="F113" s="18"/>
      <c r="G113" s="18"/>
      <c r="H113" s="18"/>
      <c r="I113" s="18"/>
      <c r="J113" s="18"/>
      <c r="K113" s="18"/>
      <c r="L113" s="18"/>
      <c r="M113" s="42"/>
      <c r="N113" s="10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67"/>
      <c r="Z113" s="167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</row>
    <row r="114" spans="1:36" ht="11.25" customHeight="1" x14ac:dyDescent="0.25">
      <c r="A114" s="1"/>
      <c r="B114" s="1"/>
      <c r="C114" s="1"/>
      <c r="D114" s="10"/>
      <c r="E114" s="44"/>
      <c r="F114" s="18"/>
      <c r="G114" s="18"/>
      <c r="H114" s="18"/>
      <c r="I114" s="18"/>
      <c r="J114" s="18"/>
      <c r="K114" s="18"/>
      <c r="L114" s="18"/>
      <c r="M114" s="42"/>
      <c r="N114" s="10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67"/>
      <c r="Z114" s="167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</row>
    <row r="115" spans="1:36" ht="11.25" customHeight="1" x14ac:dyDescent="0.25">
      <c r="A115" s="1"/>
      <c r="B115" s="1"/>
      <c r="C115" s="1"/>
      <c r="D115" s="10"/>
      <c r="E115" s="44"/>
      <c r="F115" s="18"/>
      <c r="G115" s="18"/>
      <c r="H115" s="18"/>
      <c r="I115" s="18"/>
      <c r="J115" s="18"/>
      <c r="K115" s="18"/>
      <c r="L115" s="18"/>
      <c r="M115" s="42"/>
      <c r="N115" s="10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67"/>
      <c r="Z115" s="167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</row>
    <row r="116" spans="1:36" ht="11.25" customHeight="1" x14ac:dyDescent="0.25">
      <c r="A116" s="1"/>
      <c r="B116" s="1"/>
      <c r="C116" s="1"/>
      <c r="D116" s="10"/>
      <c r="E116" s="44"/>
      <c r="F116" s="18"/>
      <c r="G116" s="18"/>
      <c r="H116" s="18"/>
      <c r="I116" s="18"/>
      <c r="J116" s="18"/>
      <c r="K116" s="18"/>
      <c r="L116" s="18"/>
      <c r="M116" s="42"/>
      <c r="N116" s="10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67"/>
      <c r="Z116" s="167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</row>
    <row r="117" spans="1:36" ht="11.25" customHeight="1" x14ac:dyDescent="0.25">
      <c r="A117" s="1"/>
      <c r="B117" s="1"/>
      <c r="C117" s="1"/>
      <c r="D117" s="10"/>
      <c r="E117" s="44"/>
      <c r="F117" s="18"/>
      <c r="G117" s="18"/>
      <c r="H117" s="18"/>
      <c r="I117" s="18"/>
      <c r="J117" s="18"/>
      <c r="K117" s="18"/>
      <c r="L117" s="18"/>
      <c r="M117" s="42"/>
      <c r="N117" s="10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67"/>
      <c r="Z117" s="167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</row>
    <row r="118" spans="1:36" ht="11.25" customHeight="1" x14ac:dyDescent="0.25">
      <c r="A118" s="1"/>
      <c r="B118" s="1"/>
      <c r="C118" s="1"/>
      <c r="D118" s="10"/>
      <c r="E118" s="44"/>
      <c r="F118" s="18"/>
      <c r="G118" s="18"/>
      <c r="H118" s="18"/>
      <c r="I118" s="18"/>
      <c r="J118" s="18"/>
      <c r="K118" s="18"/>
      <c r="L118" s="18"/>
      <c r="M118" s="42"/>
      <c r="N118" s="10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67"/>
      <c r="Z118" s="167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</row>
    <row r="119" spans="1:36" ht="11.25" customHeight="1" x14ac:dyDescent="0.25">
      <c r="A119" s="1"/>
      <c r="B119" s="1"/>
      <c r="C119" s="1"/>
      <c r="D119" s="10"/>
      <c r="E119" s="44"/>
      <c r="F119" s="18"/>
      <c r="G119" s="18"/>
      <c r="H119" s="18"/>
      <c r="I119" s="18"/>
      <c r="J119" s="18"/>
      <c r="K119" s="18"/>
      <c r="L119" s="18"/>
      <c r="M119" s="42"/>
      <c r="N119" s="10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67"/>
      <c r="Z119" s="167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</row>
    <row r="120" spans="1:36" ht="11.25" customHeight="1" x14ac:dyDescent="0.25">
      <c r="A120" s="1"/>
      <c r="B120" s="1"/>
      <c r="C120" s="1"/>
      <c r="D120" s="10"/>
      <c r="E120" s="44"/>
      <c r="F120" s="18"/>
      <c r="G120" s="18"/>
      <c r="H120" s="18"/>
      <c r="I120" s="18"/>
      <c r="J120" s="18"/>
      <c r="K120" s="18"/>
      <c r="L120" s="18"/>
      <c r="M120" s="42"/>
      <c r="N120" s="10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67"/>
      <c r="Z120" s="167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</row>
    <row r="121" spans="1:36" ht="11.25" customHeight="1" x14ac:dyDescent="0.25">
      <c r="A121" s="1"/>
      <c r="B121" s="1"/>
      <c r="C121" s="1"/>
      <c r="D121" s="10"/>
      <c r="E121" s="44"/>
      <c r="F121" s="18"/>
      <c r="G121" s="18"/>
      <c r="H121" s="18"/>
      <c r="I121" s="18"/>
      <c r="J121" s="18"/>
      <c r="K121" s="18"/>
      <c r="L121" s="18"/>
      <c r="M121" s="42"/>
      <c r="N121" s="10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67"/>
      <c r="Z121" s="167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</row>
    <row r="122" spans="1:36" ht="11.25" customHeight="1" x14ac:dyDescent="0.25">
      <c r="A122" s="1"/>
      <c r="B122" s="1"/>
      <c r="C122" s="1"/>
      <c r="D122" s="10"/>
      <c r="E122" s="44"/>
      <c r="F122" s="18"/>
      <c r="G122" s="18"/>
      <c r="H122" s="18"/>
      <c r="I122" s="18"/>
      <c r="J122" s="18"/>
      <c r="K122" s="18"/>
      <c r="L122" s="18"/>
      <c r="M122" s="42"/>
      <c r="N122" s="10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67"/>
      <c r="Z122" s="167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</row>
    <row r="123" spans="1:36" ht="11.25" customHeight="1" x14ac:dyDescent="0.25">
      <c r="A123" s="1"/>
      <c r="B123" s="1"/>
      <c r="C123" s="1"/>
      <c r="D123" s="10"/>
      <c r="E123" s="44"/>
      <c r="F123" s="18"/>
      <c r="G123" s="18"/>
      <c r="H123" s="18"/>
      <c r="I123" s="18"/>
      <c r="J123" s="18"/>
      <c r="K123" s="18"/>
      <c r="L123" s="18"/>
      <c r="M123" s="42"/>
      <c r="N123" s="10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67"/>
      <c r="Z123" s="167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</row>
    <row r="124" spans="1:36" ht="11.25" customHeight="1" x14ac:dyDescent="0.25">
      <c r="A124" s="1"/>
      <c r="B124" s="1"/>
      <c r="C124" s="1"/>
      <c r="D124" s="10"/>
      <c r="E124" s="44"/>
      <c r="F124" s="18"/>
      <c r="G124" s="18"/>
      <c r="H124" s="18"/>
      <c r="I124" s="18"/>
      <c r="J124" s="18"/>
      <c r="K124" s="18"/>
      <c r="L124" s="18"/>
      <c r="M124" s="42"/>
      <c r="N124" s="10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67"/>
      <c r="Z124" s="167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</row>
    <row r="125" spans="1:36" ht="11.25" customHeight="1" x14ac:dyDescent="0.25">
      <c r="A125" s="1"/>
      <c r="B125" s="1"/>
      <c r="C125" s="1"/>
      <c r="D125" s="10"/>
      <c r="E125" s="44"/>
      <c r="F125" s="18"/>
      <c r="G125" s="18"/>
      <c r="H125" s="18"/>
      <c r="I125" s="18"/>
      <c r="J125" s="18"/>
      <c r="K125" s="18"/>
      <c r="L125" s="18"/>
      <c r="M125" s="42"/>
      <c r="N125" s="10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67"/>
      <c r="Z125" s="167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</row>
    <row r="126" spans="1:36" ht="11.25" customHeight="1" x14ac:dyDescent="0.25">
      <c r="A126" s="1"/>
      <c r="B126" s="1"/>
      <c r="C126" s="1"/>
      <c r="D126" s="10"/>
      <c r="E126" s="44"/>
      <c r="F126" s="18"/>
      <c r="G126" s="18"/>
      <c r="H126" s="18"/>
      <c r="I126" s="18"/>
      <c r="J126" s="18"/>
      <c r="K126" s="18"/>
      <c r="L126" s="18"/>
      <c r="M126" s="42"/>
      <c r="N126" s="10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67"/>
      <c r="Z126" s="167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</row>
    <row r="127" spans="1:36" ht="11.25" customHeight="1" x14ac:dyDescent="0.25">
      <c r="A127" s="1"/>
      <c r="B127" s="1"/>
      <c r="C127" s="1"/>
      <c r="D127" s="10"/>
      <c r="E127" s="44"/>
      <c r="F127" s="18"/>
      <c r="G127" s="18"/>
      <c r="H127" s="18"/>
      <c r="I127" s="18"/>
      <c r="J127" s="18"/>
      <c r="K127" s="18"/>
      <c r="L127" s="18"/>
      <c r="M127" s="42"/>
      <c r="N127" s="10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67"/>
      <c r="Z127" s="167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</row>
    <row r="128" spans="1:36" ht="11.25" customHeight="1" x14ac:dyDescent="0.25">
      <c r="A128" s="1"/>
      <c r="B128" s="1"/>
      <c r="C128" s="1"/>
      <c r="D128" s="10"/>
      <c r="E128" s="44"/>
      <c r="F128" s="18"/>
      <c r="G128" s="18"/>
      <c r="H128" s="18"/>
      <c r="I128" s="18"/>
      <c r="J128" s="18"/>
      <c r="K128" s="18"/>
      <c r="L128" s="18"/>
      <c r="M128" s="42"/>
      <c r="N128" s="10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67"/>
      <c r="Z128" s="167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</row>
    <row r="129" spans="1:36" ht="11.25" customHeight="1" x14ac:dyDescent="0.25">
      <c r="A129" s="1"/>
      <c r="B129" s="1"/>
      <c r="C129" s="1"/>
      <c r="D129" s="10"/>
      <c r="E129" s="44"/>
      <c r="F129" s="18"/>
      <c r="G129" s="18"/>
      <c r="H129" s="18"/>
      <c r="I129" s="18"/>
      <c r="J129" s="18"/>
      <c r="K129" s="18"/>
      <c r="L129" s="18"/>
      <c r="M129" s="42"/>
      <c r="N129" s="10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67"/>
      <c r="Z129" s="167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</row>
    <row r="130" spans="1:36" ht="11.25" customHeight="1" x14ac:dyDescent="0.25">
      <c r="A130" s="1"/>
      <c r="B130" s="1"/>
      <c r="C130" s="1"/>
      <c r="D130" s="10"/>
      <c r="E130" s="44"/>
      <c r="F130" s="18"/>
      <c r="G130" s="18"/>
      <c r="H130" s="18"/>
      <c r="I130" s="18"/>
      <c r="J130" s="18"/>
      <c r="K130" s="18"/>
      <c r="L130" s="18"/>
      <c r="M130" s="42"/>
      <c r="N130" s="10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67"/>
      <c r="Z130" s="167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</row>
    <row r="131" spans="1:36" ht="11.25" customHeight="1" x14ac:dyDescent="0.25">
      <c r="A131" s="1"/>
      <c r="B131" s="1"/>
      <c r="C131" s="1"/>
      <c r="D131" s="10"/>
      <c r="E131" s="44"/>
      <c r="F131" s="18"/>
      <c r="G131" s="18"/>
      <c r="H131" s="18"/>
      <c r="I131" s="18"/>
      <c r="J131" s="18"/>
      <c r="K131" s="18"/>
      <c r="L131" s="18"/>
      <c r="M131" s="42"/>
      <c r="N131" s="10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67"/>
      <c r="Z131" s="167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</row>
    <row r="132" spans="1:36" ht="11.25" customHeight="1" x14ac:dyDescent="0.25">
      <c r="A132" s="1"/>
      <c r="B132" s="1"/>
      <c r="C132" s="1"/>
      <c r="D132" s="10"/>
      <c r="E132" s="44"/>
      <c r="F132" s="18"/>
      <c r="G132" s="18"/>
      <c r="H132" s="18"/>
      <c r="I132" s="18"/>
      <c r="J132" s="18"/>
      <c r="K132" s="18"/>
      <c r="L132" s="18"/>
      <c r="M132" s="42"/>
      <c r="N132" s="10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67"/>
      <c r="Z132" s="167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</row>
    <row r="133" spans="1:36" ht="11.25" customHeight="1" x14ac:dyDescent="0.25">
      <c r="A133" s="1"/>
      <c r="B133" s="1"/>
      <c r="C133" s="1"/>
      <c r="D133" s="10"/>
      <c r="E133" s="44"/>
      <c r="F133" s="18"/>
      <c r="G133" s="18"/>
      <c r="H133" s="18"/>
      <c r="I133" s="18"/>
      <c r="J133" s="18"/>
      <c r="K133" s="18"/>
      <c r="L133" s="18"/>
      <c r="M133" s="42"/>
      <c r="N133" s="10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67"/>
      <c r="Z133" s="167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</row>
    <row r="134" spans="1:36" ht="11.25" customHeight="1" x14ac:dyDescent="0.25">
      <c r="A134" s="1"/>
      <c r="B134" s="1"/>
      <c r="C134" s="1"/>
      <c r="D134" s="10"/>
      <c r="E134" s="44"/>
      <c r="F134" s="18"/>
      <c r="G134" s="18"/>
      <c r="H134" s="18"/>
      <c r="I134" s="18"/>
      <c r="J134" s="18"/>
      <c r="K134" s="18"/>
      <c r="L134" s="18"/>
      <c r="M134" s="42"/>
      <c r="N134" s="10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67"/>
      <c r="Z134" s="167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</row>
    <row r="135" spans="1:36" ht="11.25" customHeight="1" x14ac:dyDescent="0.25">
      <c r="A135" s="1"/>
      <c r="B135" s="1"/>
      <c r="C135" s="1"/>
      <c r="D135" s="10"/>
      <c r="E135" s="44"/>
      <c r="F135" s="18"/>
      <c r="G135" s="18"/>
      <c r="H135" s="18"/>
      <c r="I135" s="18"/>
      <c r="J135" s="18"/>
      <c r="K135" s="18"/>
      <c r="L135" s="18"/>
      <c r="M135" s="42"/>
      <c r="N135" s="10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67"/>
      <c r="Z135" s="167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</row>
    <row r="136" spans="1:36" ht="11.25" customHeight="1" x14ac:dyDescent="0.25">
      <c r="A136" s="1"/>
      <c r="B136" s="1"/>
      <c r="C136" s="1"/>
      <c r="D136" s="10"/>
      <c r="E136" s="44"/>
      <c r="F136" s="18"/>
      <c r="G136" s="18"/>
      <c r="H136" s="18"/>
      <c r="I136" s="18"/>
      <c r="J136" s="18"/>
      <c r="K136" s="18"/>
      <c r="L136" s="18"/>
      <c r="M136" s="42"/>
      <c r="N136" s="10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67"/>
      <c r="Z136" s="167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</row>
    <row r="137" spans="1:36" ht="11.25" customHeight="1" x14ac:dyDescent="0.25">
      <c r="A137" s="1"/>
      <c r="B137" s="1"/>
      <c r="C137" s="1"/>
      <c r="D137" s="10"/>
      <c r="E137" s="44"/>
      <c r="F137" s="18"/>
      <c r="G137" s="18"/>
      <c r="H137" s="18"/>
      <c r="I137" s="18"/>
      <c r="J137" s="18"/>
      <c r="K137" s="18"/>
      <c r="L137" s="18"/>
      <c r="M137" s="42"/>
      <c r="N137" s="10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67"/>
      <c r="Z137" s="167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</row>
    <row r="138" spans="1:36" ht="11.25" customHeight="1" x14ac:dyDescent="0.25">
      <c r="A138" s="1"/>
      <c r="B138" s="1"/>
      <c r="C138" s="1"/>
      <c r="D138" s="10"/>
      <c r="E138" s="44"/>
      <c r="F138" s="18"/>
      <c r="G138" s="18"/>
      <c r="H138" s="18"/>
      <c r="I138" s="18"/>
      <c r="J138" s="18"/>
      <c r="K138" s="18"/>
      <c r="L138" s="18"/>
      <c r="M138" s="42"/>
      <c r="N138" s="10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67"/>
      <c r="Z138" s="167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</row>
    <row r="139" spans="1:36" ht="11.25" customHeight="1" x14ac:dyDescent="0.25">
      <c r="A139" s="1"/>
      <c r="B139" s="1"/>
      <c r="C139" s="1"/>
      <c r="D139" s="10"/>
      <c r="E139" s="44"/>
      <c r="F139" s="18"/>
      <c r="G139" s="18"/>
      <c r="H139" s="18"/>
      <c r="I139" s="18"/>
      <c r="J139" s="18"/>
      <c r="K139" s="18"/>
      <c r="L139" s="18"/>
      <c r="M139" s="42"/>
      <c r="N139" s="10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67"/>
      <c r="Z139" s="167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</row>
  </sheetData>
  <mergeCells count="47">
    <mergeCell ref="B9:B11"/>
    <mergeCell ref="Q11:R11"/>
    <mergeCell ref="Q12:R12"/>
    <mergeCell ref="Q13:R13"/>
    <mergeCell ref="Q14:R14"/>
    <mergeCell ref="O9:R10"/>
    <mergeCell ref="Q15:R15"/>
    <mergeCell ref="Q16:R16"/>
    <mergeCell ref="Q17:R17"/>
    <mergeCell ref="Q21:R21"/>
    <mergeCell ref="Q22:R22"/>
    <mergeCell ref="O19:R20"/>
    <mergeCell ref="Q23:R23"/>
    <mergeCell ref="Q24:R24"/>
    <mergeCell ref="Q25:R25"/>
    <mergeCell ref="Q26:R26"/>
    <mergeCell ref="Q27:R27"/>
    <mergeCell ref="A12:A22"/>
    <mergeCell ref="A23:A35"/>
    <mergeCell ref="A37:A67"/>
    <mergeCell ref="N12:N14"/>
    <mergeCell ref="N15:N17"/>
    <mergeCell ref="N18:N20"/>
    <mergeCell ref="N21:N23"/>
    <mergeCell ref="N24:N26"/>
    <mergeCell ref="N33:N35"/>
    <mergeCell ref="F13:F15"/>
    <mergeCell ref="G13:G15"/>
    <mergeCell ref="B37:C38"/>
    <mergeCell ref="G37:H38"/>
    <mergeCell ref="L37:M38"/>
    <mergeCell ref="F4:H6"/>
    <mergeCell ref="Q37:R38"/>
    <mergeCell ref="N27:N29"/>
    <mergeCell ref="N30:N32"/>
    <mergeCell ref="C9:C11"/>
    <mergeCell ref="D9:D11"/>
    <mergeCell ref="E9:E11"/>
    <mergeCell ref="F9:F11"/>
    <mergeCell ref="G9:G11"/>
    <mergeCell ref="H9:H11"/>
    <mergeCell ref="I9:I11"/>
    <mergeCell ref="J9:J11"/>
    <mergeCell ref="K9:K11"/>
    <mergeCell ref="L9:L11"/>
    <mergeCell ref="M9:M11"/>
    <mergeCell ref="N9:N11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1061" r:id="rId4">
          <objectPr defaultSize="0" autoPict="0" r:id="rId5">
            <anchor moveWithCells="1">
              <from>
                <xdr:col>18</xdr:col>
                <xdr:colOff>142875</xdr:colOff>
                <xdr:row>12</xdr:row>
                <xdr:rowOff>0</xdr:rowOff>
              </from>
              <to>
                <xdr:col>25</xdr:col>
                <xdr:colOff>285750</xdr:colOff>
                <xdr:row>15</xdr:row>
                <xdr:rowOff>0</xdr:rowOff>
              </to>
            </anchor>
          </objectPr>
        </oleObject>
      </mc:Choice>
      <mc:Fallback>
        <oleObject progId="Equation.3" shapeId="1061" r:id="rId4"/>
      </mc:Fallback>
    </mc:AlternateContent>
    <mc:AlternateContent xmlns:mc="http://schemas.openxmlformats.org/markup-compatibility/2006">
      <mc:Choice Requires="x14">
        <oleObject progId="Equation.3" shapeId="1062" r:id="rId6">
          <objectPr defaultSize="0" autoPict="0" r:id="rId7">
            <anchor moveWithCells="1">
              <from>
                <xdr:col>18</xdr:col>
                <xdr:colOff>104775</xdr:colOff>
                <xdr:row>21</xdr:row>
                <xdr:rowOff>123825</xdr:rowOff>
              </from>
              <to>
                <xdr:col>25</xdr:col>
                <xdr:colOff>257175</xdr:colOff>
                <xdr:row>24</xdr:row>
                <xdr:rowOff>123825</xdr:rowOff>
              </to>
            </anchor>
          </objectPr>
        </oleObject>
      </mc:Choice>
      <mc:Fallback>
        <oleObject progId="Equation.3" shapeId="1062" r:id="rId6"/>
      </mc:Fallback>
    </mc:AlternateContent>
  </oleObjects>
  <controls>
    <mc:AlternateContent xmlns:mc="http://schemas.openxmlformats.org/markup-compatibility/2006">
      <mc:Choice Requires="x14">
        <control shapeId="1068" r:id="rId8" name="ComboBox2">
          <controlPr defaultSize="0" autoLine="0" autoPict="0" r:id="rId9">
            <anchor moveWithCells="1">
              <from>
                <xdr:col>10</xdr:col>
                <xdr:colOff>57150</xdr:colOff>
                <xdr:row>3</xdr:row>
                <xdr:rowOff>9525</xdr:rowOff>
              </from>
              <to>
                <xdr:col>13</xdr:col>
                <xdr:colOff>438150</xdr:colOff>
                <xdr:row>6</xdr:row>
                <xdr:rowOff>9525</xdr:rowOff>
              </to>
            </anchor>
          </controlPr>
        </control>
      </mc:Choice>
      <mc:Fallback>
        <control shapeId="1068" r:id="rId8" name="ComboBox2"/>
      </mc:Fallback>
    </mc:AlternateContent>
    <mc:AlternateContent xmlns:mc="http://schemas.openxmlformats.org/markup-compatibility/2006">
      <mc:Choice Requires="x14">
        <control shapeId="1065" r:id="rId10" name="ComboBox1">
          <controlPr defaultSize="0" autoLine="0" autoPict="0" r:id="rId11">
            <anchor moveWithCells="1">
              <from>
                <xdr:col>0</xdr:col>
                <xdr:colOff>57150</xdr:colOff>
                <xdr:row>3</xdr:row>
                <xdr:rowOff>0</xdr:rowOff>
              </from>
              <to>
                <xdr:col>4</xdr:col>
                <xdr:colOff>323850</xdr:colOff>
                <xdr:row>6</xdr:row>
                <xdr:rowOff>0</xdr:rowOff>
              </to>
            </anchor>
          </controlPr>
        </control>
      </mc:Choice>
      <mc:Fallback>
        <control shapeId="1065" r:id="rId10" name="ComboBox1"/>
      </mc:Fallback>
    </mc:AlternateContent>
    <mc:AlternateContent xmlns:mc="http://schemas.openxmlformats.org/markup-compatibility/2006">
      <mc:Choice Requires="x14">
        <control shapeId="1049" r:id="rId12" name="SpinButton1">
          <controlPr autoLine="0" r:id="rId13">
            <anchor moveWithCells="1">
              <from>
                <xdr:col>8</xdr:col>
                <xdr:colOff>57150</xdr:colOff>
                <xdr:row>2</xdr:row>
                <xdr:rowOff>0</xdr:rowOff>
              </from>
              <to>
                <xdr:col>8</xdr:col>
                <xdr:colOff>428625</xdr:colOff>
                <xdr:row>6</xdr:row>
                <xdr:rowOff>57150</xdr:rowOff>
              </to>
            </anchor>
          </controlPr>
        </control>
      </mc:Choice>
      <mc:Fallback>
        <control shapeId="1049" r:id="rId12" name="SpinButton1"/>
      </mc:Fallback>
    </mc:AlternateContent>
    <mc:AlternateContent xmlns:mc="http://schemas.openxmlformats.org/markup-compatibility/2006">
      <mc:Choice Requires="x14">
        <control shapeId="1040" r:id="rId14" name="CommandButton2">
          <controlPr autoLine="0" r:id="rId15">
            <anchor moveWithCells="1">
              <from>
                <xdr:col>11</xdr:col>
                <xdr:colOff>9525</xdr:colOff>
                <xdr:row>8</xdr:row>
                <xdr:rowOff>0</xdr:rowOff>
              </from>
              <to>
                <xdr:col>13</xdr:col>
                <xdr:colOff>323850</xdr:colOff>
                <xdr:row>10</xdr:row>
                <xdr:rowOff>47625</xdr:rowOff>
              </to>
            </anchor>
          </controlPr>
        </control>
      </mc:Choice>
      <mc:Fallback>
        <control shapeId="1040" r:id="rId14" name="CommandButton2"/>
      </mc:Fallback>
    </mc:AlternateContent>
    <mc:AlternateContent xmlns:mc="http://schemas.openxmlformats.org/markup-compatibility/2006">
      <mc:Choice Requires="x14">
        <control shapeId="1035" r:id="rId16" name="CommandButton5">
          <controlPr autoLine="0" r:id="rId17">
            <anchor moveWithCells="1">
              <from>
                <xdr:col>13</xdr:col>
                <xdr:colOff>342900</xdr:colOff>
                <xdr:row>36</xdr:row>
                <xdr:rowOff>0</xdr:rowOff>
              </from>
              <to>
                <xdr:col>16</xdr:col>
                <xdr:colOff>38100</xdr:colOff>
                <xdr:row>39</xdr:row>
                <xdr:rowOff>19050</xdr:rowOff>
              </to>
            </anchor>
          </controlPr>
        </control>
      </mc:Choice>
      <mc:Fallback>
        <control shapeId="1035" r:id="rId16" name="CommandButton5"/>
      </mc:Fallback>
    </mc:AlternateContent>
    <mc:AlternateContent xmlns:mc="http://schemas.openxmlformats.org/markup-compatibility/2006">
      <mc:Choice Requires="x14">
        <control shapeId="1034" r:id="rId18" name="CommandButton4">
          <controlPr autoLine="0" r:id="rId19">
            <anchor moveWithCells="1">
              <from>
                <xdr:col>8</xdr:col>
                <xdr:colOff>352425</xdr:colOff>
                <xdr:row>36</xdr:row>
                <xdr:rowOff>0</xdr:rowOff>
              </from>
              <to>
                <xdr:col>10</xdr:col>
                <xdr:colOff>571500</xdr:colOff>
                <xdr:row>39</xdr:row>
                <xdr:rowOff>19050</xdr:rowOff>
              </to>
            </anchor>
          </controlPr>
        </control>
      </mc:Choice>
      <mc:Fallback>
        <control shapeId="1034" r:id="rId18" name="CommandButton4"/>
      </mc:Fallback>
    </mc:AlternateContent>
    <mc:AlternateContent xmlns:mc="http://schemas.openxmlformats.org/markup-compatibility/2006">
      <mc:Choice Requires="x14">
        <control shapeId="1033" r:id="rId20" name="CommandButton3">
          <controlPr autoLine="0" r:id="rId21">
            <anchor moveWithCells="1">
              <from>
                <xdr:col>3</xdr:col>
                <xdr:colOff>352425</xdr:colOff>
                <xdr:row>36</xdr:row>
                <xdr:rowOff>0</xdr:rowOff>
              </from>
              <to>
                <xdr:col>5</xdr:col>
                <xdr:colOff>571500</xdr:colOff>
                <xdr:row>39</xdr:row>
                <xdr:rowOff>19050</xdr:rowOff>
              </to>
            </anchor>
          </controlPr>
        </control>
      </mc:Choice>
      <mc:Fallback>
        <control shapeId="1033" r:id="rId20" name="CommandButton3"/>
      </mc:Fallback>
    </mc:AlternateContent>
    <mc:AlternateContent xmlns:mc="http://schemas.openxmlformats.org/markup-compatibility/2006">
      <mc:Choice Requires="x14">
        <control shapeId="1026" r:id="rId22" name="CommandButton1">
          <controlPr autoLine="0" r:id="rId23">
            <anchor moveWithCells="1">
              <from>
                <xdr:col>15</xdr:col>
                <xdr:colOff>0</xdr:colOff>
                <xdr:row>3</xdr:row>
                <xdr:rowOff>0</xdr:rowOff>
              </from>
              <to>
                <xdr:col>17</xdr:col>
                <xdr:colOff>285750</xdr:colOff>
                <xdr:row>5</xdr:row>
                <xdr:rowOff>28575</xdr:rowOff>
              </to>
            </anchor>
          </controlPr>
        </control>
      </mc:Choice>
      <mc:Fallback>
        <control shapeId="1026" r:id="rId22" name="CommandButton1"/>
      </mc:Fallback>
    </mc:AlternateContent>
    <mc:AlternateContent xmlns:mc="http://schemas.openxmlformats.org/markup-compatibility/2006">
      <mc:Choice Requires="x14">
        <control shapeId="1051" r:id="rId24" name="SpinButton2">
          <controlPr defaultSize="0" autoLine="0" linkedCell="B37" r:id="rId25">
            <anchor moveWithCells="1">
              <from>
                <xdr:col>3</xdr:col>
                <xdr:colOff>0</xdr:colOff>
                <xdr:row>36</xdr:row>
                <xdr:rowOff>0</xdr:rowOff>
              </from>
              <to>
                <xdr:col>3</xdr:col>
                <xdr:colOff>361950</xdr:colOff>
                <xdr:row>39</xdr:row>
                <xdr:rowOff>19050</xdr:rowOff>
              </to>
            </anchor>
          </controlPr>
        </control>
      </mc:Choice>
      <mc:Fallback>
        <control shapeId="1051" r:id="rId24" name="SpinButton2"/>
      </mc:Fallback>
    </mc:AlternateContent>
    <mc:AlternateContent xmlns:mc="http://schemas.openxmlformats.org/markup-compatibility/2006">
      <mc:Choice Requires="x14">
        <control shapeId="1052" r:id="rId26" name="SpinButton3">
          <controlPr defaultSize="0" autoLine="0" linkedCell="G37" r:id="rId25">
            <anchor moveWithCells="1">
              <from>
                <xdr:col>7</xdr:col>
                <xdr:colOff>438150</xdr:colOff>
                <xdr:row>36</xdr:row>
                <xdr:rowOff>0</xdr:rowOff>
              </from>
              <to>
                <xdr:col>8</xdr:col>
                <xdr:colOff>352425</xdr:colOff>
                <xdr:row>39</xdr:row>
                <xdr:rowOff>19050</xdr:rowOff>
              </to>
            </anchor>
          </controlPr>
        </control>
      </mc:Choice>
      <mc:Fallback>
        <control shapeId="1052" r:id="rId26" name="SpinButton3"/>
      </mc:Fallback>
    </mc:AlternateContent>
    <mc:AlternateContent xmlns:mc="http://schemas.openxmlformats.org/markup-compatibility/2006">
      <mc:Choice Requires="x14">
        <control shapeId="1053" r:id="rId27" name="SpinButton4">
          <controlPr defaultSize="0" autoLine="0" linkedCell="L37" r:id="rId28">
            <anchor moveWithCells="1">
              <from>
                <xdr:col>12</xdr:col>
                <xdr:colOff>428625</xdr:colOff>
                <xdr:row>36</xdr:row>
                <xdr:rowOff>9525</xdr:rowOff>
              </from>
              <to>
                <xdr:col>13</xdr:col>
                <xdr:colOff>342900</xdr:colOff>
                <xdr:row>39</xdr:row>
                <xdr:rowOff>19050</xdr:rowOff>
              </to>
            </anchor>
          </controlPr>
        </control>
      </mc:Choice>
      <mc:Fallback>
        <control shapeId="1053" r:id="rId27" name="SpinButton4"/>
      </mc:Fallback>
    </mc:AlternateContent>
    <mc:AlternateContent xmlns:mc="http://schemas.openxmlformats.org/markup-compatibility/2006">
      <mc:Choice Requires="x14">
        <control shapeId="1054" r:id="rId29" name="SpinButton5">
          <controlPr defaultSize="0" autoLine="0" linkedCell="Q37" r:id="rId25">
            <anchor moveWithCells="1">
              <from>
                <xdr:col>18</xdr:col>
                <xdr:colOff>28575</xdr:colOff>
                <xdr:row>36</xdr:row>
                <xdr:rowOff>0</xdr:rowOff>
              </from>
              <to>
                <xdr:col>18</xdr:col>
                <xdr:colOff>390525</xdr:colOff>
                <xdr:row>39</xdr:row>
                <xdr:rowOff>19050</xdr:rowOff>
              </to>
            </anchor>
          </controlPr>
        </control>
      </mc:Choice>
      <mc:Fallback>
        <control shapeId="1054" r:id="rId29" name="SpinButton5"/>
      </mc:Fallback>
    </mc:AlternateContent>
    <mc:AlternateContent xmlns:mc="http://schemas.openxmlformats.org/markup-compatibility/2006">
      <mc:Choice Requires="x14">
        <control shapeId="1060" r:id="rId30" name="CommandButton6">
          <controlPr autoLine="0" r:id="rId31">
            <anchor moveWithCells="1">
              <from>
                <xdr:col>18</xdr:col>
                <xdr:colOff>390525</xdr:colOff>
                <xdr:row>36</xdr:row>
                <xdr:rowOff>0</xdr:rowOff>
              </from>
              <to>
                <xdr:col>21</xdr:col>
                <xdr:colOff>9525</xdr:colOff>
                <xdr:row>39</xdr:row>
                <xdr:rowOff>19050</xdr:rowOff>
              </to>
            </anchor>
          </controlPr>
        </control>
      </mc:Choice>
      <mc:Fallback>
        <control shapeId="1060" r:id="rId30" name="CommandButton6"/>
      </mc:Fallback>
    </mc:AlternateContent>
    <mc:AlternateContent xmlns:mc="http://schemas.openxmlformats.org/markup-compatibility/2006">
      <mc:Choice Requires="x14">
        <control shapeId="1070" r:id="rId32" name="CommandButton7">
          <controlPr defaultSize="0" autoLine="0" r:id="rId33">
            <anchor moveWithCells="1">
              <from>
                <xdr:col>21</xdr:col>
                <xdr:colOff>180975</xdr:colOff>
                <xdr:row>4</xdr:row>
                <xdr:rowOff>123825</xdr:rowOff>
              </from>
              <to>
                <xdr:col>23</xdr:col>
                <xdr:colOff>304800</xdr:colOff>
                <xdr:row>7</xdr:row>
                <xdr:rowOff>0</xdr:rowOff>
              </to>
            </anchor>
          </controlPr>
        </control>
      </mc:Choice>
      <mc:Fallback>
        <control shapeId="1070" r:id="rId32" name="CommandButton7"/>
      </mc:Fallback>
    </mc:AlternateContent>
    <mc:AlternateContent xmlns:mc="http://schemas.openxmlformats.org/markup-compatibility/2006">
      <mc:Choice Requires="x14">
        <control shapeId="1025" r:id="rId34" name="Group Box 1">
          <controlPr defaultSize="0" autoFill="0" autoPict="0">
            <anchor moveWithCells="1">
              <from>
                <xdr:col>0</xdr:col>
                <xdr:colOff>0</xdr:colOff>
                <xdr:row>0</xdr:row>
                <xdr:rowOff>38100</xdr:rowOff>
              </from>
              <to>
                <xdr:col>25</xdr:col>
                <xdr:colOff>47625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35" name="Group Box 3">
          <controlPr defaultSize="0" autoFill="0" autoPict="0">
            <anchor moveWithCells="1">
              <from>
                <xdr:col>5</xdr:col>
                <xdr:colOff>9525</xdr:colOff>
                <xdr:row>1</xdr:row>
                <xdr:rowOff>114300</xdr:rowOff>
              </from>
              <to>
                <xdr:col>8</xdr:col>
                <xdr:colOff>438150</xdr:colOff>
                <xdr:row>6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36" name="Group Box 42">
          <controlPr defaultSize="0" autoFill="0" autoPict="0">
            <anchor moveWithCells="1">
              <from>
                <xdr:col>0</xdr:col>
                <xdr:colOff>28575</xdr:colOff>
                <xdr:row>1</xdr:row>
                <xdr:rowOff>114300</xdr:rowOff>
              </from>
              <to>
                <xdr:col>4</xdr:col>
                <xdr:colOff>381000</xdr:colOff>
                <xdr:row>6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37" name="Group Box 43">
          <controlPr defaultSize="0" autoFill="0" autoPict="0">
            <anchor moveWithCells="1">
              <from>
                <xdr:col>10</xdr:col>
                <xdr:colOff>0</xdr:colOff>
                <xdr:row>1</xdr:row>
                <xdr:rowOff>104775</xdr:rowOff>
              </from>
              <to>
                <xdr:col>14</xdr:col>
                <xdr:colOff>9525</xdr:colOff>
                <xdr:row>6</xdr:row>
                <xdr:rowOff>66675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BY211"/>
  <sheetViews>
    <sheetView tabSelected="1" topLeftCell="A19" zoomScaleNormal="100" workbookViewId="0">
      <selection activeCell="AH44" sqref="AH44"/>
    </sheetView>
  </sheetViews>
  <sheetFormatPr defaultRowHeight="15" x14ac:dyDescent="0.25"/>
  <cols>
    <col min="1" max="1" width="11.28515625" customWidth="1"/>
    <col min="2" max="2" width="12.7109375" customWidth="1"/>
    <col min="3" max="29" width="6.28515625" customWidth="1"/>
  </cols>
  <sheetData>
    <row r="1" spans="1:7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</row>
    <row r="2" spans="1:7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67"/>
      <c r="AM2" s="167"/>
      <c r="AN2" s="167"/>
      <c r="AO2" s="167"/>
      <c r="AP2" s="167"/>
      <c r="AQ2" s="167"/>
      <c r="AR2" s="167"/>
      <c r="AS2" s="167"/>
      <c r="AT2" s="167"/>
      <c r="AU2" s="167"/>
      <c r="AV2" s="167"/>
      <c r="AW2" s="167"/>
      <c r="AX2" s="167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</row>
    <row r="3" spans="1:7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67"/>
      <c r="AM3" s="167"/>
      <c r="AN3" s="167"/>
      <c r="AO3" s="167"/>
      <c r="AP3" s="167"/>
      <c r="AQ3" s="167"/>
      <c r="AR3" s="167"/>
      <c r="AS3" s="167"/>
      <c r="AT3" s="167"/>
      <c r="AU3" s="167"/>
      <c r="AV3" s="167"/>
      <c r="AW3" s="167"/>
      <c r="AX3" s="167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</row>
    <row r="4" spans="1:7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67"/>
      <c r="AM4" s="167"/>
      <c r="AN4" s="167"/>
      <c r="AO4" s="167"/>
      <c r="AP4" s="167"/>
      <c r="AQ4" s="167"/>
      <c r="AR4" s="167"/>
      <c r="AS4" s="167"/>
      <c r="AT4" s="167"/>
      <c r="AU4" s="167"/>
      <c r="AV4" s="167"/>
      <c r="AW4" s="167"/>
      <c r="AX4" s="167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</row>
    <row r="5" spans="1:7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</row>
    <row r="6" spans="1:7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</row>
    <row r="7" spans="1:7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67"/>
      <c r="AM7" s="167"/>
      <c r="AN7" s="167"/>
      <c r="AO7" s="167"/>
      <c r="AP7" s="167"/>
      <c r="AQ7" s="167"/>
      <c r="AR7" s="167"/>
      <c r="AS7" s="167"/>
      <c r="AT7" s="167"/>
      <c r="AU7" s="167"/>
      <c r="AV7" s="167"/>
      <c r="AW7" s="167"/>
      <c r="AX7" s="167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</row>
    <row r="8" spans="1:7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67"/>
      <c r="AM8" s="167"/>
      <c r="AN8" s="167"/>
      <c r="AO8" s="167"/>
      <c r="AP8" s="167"/>
      <c r="AQ8" s="167"/>
      <c r="AR8" s="167"/>
      <c r="AS8" s="167"/>
      <c r="AT8" s="167"/>
      <c r="AU8" s="167"/>
      <c r="AV8" s="167"/>
      <c r="AW8" s="167"/>
      <c r="AX8" s="167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</row>
    <row r="9" spans="1:77" x14ac:dyDescent="0.25">
      <c r="A9" s="1"/>
      <c r="B9" s="1">
        <v>190.07508600000006</v>
      </c>
      <c r="C9" s="1">
        <v>192.37764900000008</v>
      </c>
      <c r="D9" s="1">
        <v>192.32435599999999</v>
      </c>
      <c r="E9" s="1">
        <v>176.25368900000001</v>
      </c>
      <c r="F9" s="1">
        <v>177.48544649999997</v>
      </c>
      <c r="G9" s="1">
        <v>177.88823499999998</v>
      </c>
      <c r="H9" s="1">
        <v>183.00576149999998</v>
      </c>
      <c r="I9" s="1">
        <v>185.22534899999994</v>
      </c>
      <c r="J9" s="1">
        <v>186.23853299999996</v>
      </c>
      <c r="K9" s="1">
        <v>188.82794999999999</v>
      </c>
      <c r="L9" s="1">
        <v>186.37002199999995</v>
      </c>
      <c r="M9" s="1">
        <v>184.60963100000004</v>
      </c>
      <c r="N9" s="1">
        <v>183.64011600000003</v>
      </c>
      <c r="O9" s="1">
        <v>178.58531449999998</v>
      </c>
      <c r="P9" s="1">
        <v>177.11325499999998</v>
      </c>
      <c r="Q9" s="1">
        <v>175.28109550000005</v>
      </c>
      <c r="R9" s="1">
        <v>171.86399649999998</v>
      </c>
      <c r="S9" s="1">
        <v>172.79724649999997</v>
      </c>
      <c r="T9" s="1">
        <v>175.90540049999996</v>
      </c>
      <c r="U9" s="1">
        <v>175.29705649999997</v>
      </c>
      <c r="V9" s="1">
        <v>177.43637199999995</v>
      </c>
      <c r="W9" s="1">
        <v>178.12746499999997</v>
      </c>
      <c r="X9" s="1">
        <v>178.79929649999997</v>
      </c>
      <c r="Y9" s="1">
        <v>178.75233000000003</v>
      </c>
      <c r="Z9" s="1">
        <v>179.64482349999997</v>
      </c>
      <c r="AA9" s="1">
        <v>181.8283615</v>
      </c>
      <c r="AB9" s="1">
        <v>182.38383199999998</v>
      </c>
      <c r="AC9" s="1"/>
      <c r="AD9" s="1"/>
      <c r="AE9" s="1"/>
      <c r="AF9" s="1"/>
      <c r="AG9" s="1"/>
      <c r="AH9" s="1"/>
      <c r="AI9" s="1"/>
      <c r="AJ9" s="1"/>
      <c r="AK9" s="1"/>
      <c r="AL9" s="167"/>
      <c r="AM9" s="167"/>
      <c r="AN9" s="167"/>
      <c r="AO9" s="167"/>
      <c r="AP9" s="167"/>
      <c r="AQ9" s="167"/>
      <c r="AR9" s="167"/>
      <c r="AS9" s="167"/>
      <c r="AT9" s="167"/>
      <c r="AU9" s="167"/>
      <c r="AV9" s="167"/>
      <c r="AW9" s="167"/>
      <c r="AX9" s="167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</row>
    <row r="10" spans="1:77" x14ac:dyDescent="0.25">
      <c r="A10" s="1"/>
      <c r="B10" s="184"/>
      <c r="C10" s="1"/>
      <c r="D10" s="1"/>
      <c r="E10" s="1"/>
      <c r="F10" s="18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67"/>
      <c r="AM10" s="167"/>
      <c r="AN10" s="167"/>
      <c r="AO10" s="167"/>
      <c r="AP10" s="167"/>
      <c r="AQ10" s="167"/>
      <c r="AR10" s="167"/>
      <c r="AS10" s="167"/>
      <c r="AT10" s="167"/>
      <c r="AU10" s="167"/>
      <c r="AV10" s="167"/>
      <c r="AW10" s="167"/>
      <c r="AX10" s="167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</row>
    <row r="11" spans="1:77" x14ac:dyDescent="0.25">
      <c r="A11" s="1"/>
      <c r="B11" s="184"/>
      <c r="C11" s="1"/>
      <c r="D11" s="1"/>
      <c r="E11" s="1"/>
      <c r="F11" s="18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</row>
    <row r="12" spans="1:77" x14ac:dyDescent="0.25">
      <c r="A12" s="1"/>
      <c r="B12" s="184"/>
      <c r="C12" s="1"/>
      <c r="D12" s="1"/>
      <c r="E12" s="1"/>
      <c r="F12" s="18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67"/>
      <c r="AX12" s="167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</row>
    <row r="13" spans="1:77" x14ac:dyDescent="0.25">
      <c r="A13" s="1"/>
      <c r="B13" s="184"/>
      <c r="C13" s="1"/>
      <c r="D13" s="1"/>
      <c r="E13" s="1"/>
      <c r="F13" s="18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67"/>
      <c r="AM13" s="167"/>
      <c r="AN13" s="167"/>
      <c r="AO13" s="167"/>
      <c r="AP13" s="167"/>
      <c r="AQ13" s="167"/>
      <c r="AR13" s="167"/>
      <c r="AS13" s="167"/>
      <c r="AT13" s="167"/>
      <c r="AU13" s="167"/>
      <c r="AV13" s="167"/>
      <c r="AW13" s="167"/>
      <c r="AX13" s="167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</row>
    <row r="14" spans="1:77" x14ac:dyDescent="0.25">
      <c r="A14" s="1"/>
      <c r="B14" s="184"/>
      <c r="C14" s="1"/>
      <c r="D14" s="1"/>
      <c r="E14" s="1"/>
      <c r="F14" s="18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67"/>
      <c r="AM14" s="167"/>
      <c r="AN14" s="167"/>
      <c r="AO14" s="167"/>
      <c r="AP14" s="167"/>
      <c r="AQ14" s="167"/>
      <c r="AR14" s="167"/>
      <c r="AS14" s="167"/>
      <c r="AT14" s="167"/>
      <c r="AU14" s="167"/>
      <c r="AV14" s="167"/>
      <c r="AW14" s="167"/>
      <c r="AX14" s="167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</row>
    <row r="15" spans="1:77" x14ac:dyDescent="0.25">
      <c r="A15" s="1"/>
      <c r="B15" s="184"/>
      <c r="C15" s="1"/>
      <c r="D15" s="1"/>
      <c r="E15" s="1"/>
      <c r="F15" s="18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67"/>
      <c r="AM15" s="167"/>
      <c r="AN15" s="167"/>
      <c r="AO15" s="167"/>
      <c r="AP15" s="167"/>
      <c r="AQ15" s="167"/>
      <c r="AR15" s="167"/>
      <c r="AS15" s="167"/>
      <c r="AT15" s="167"/>
      <c r="AU15" s="167"/>
      <c r="AV15" s="167"/>
      <c r="AW15" s="167"/>
      <c r="AX15" s="167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</row>
    <row r="16" spans="1:77" x14ac:dyDescent="0.25">
      <c r="A16" s="1"/>
      <c r="B16" s="184"/>
      <c r="C16" s="1"/>
      <c r="D16" s="1"/>
      <c r="E16" s="1"/>
      <c r="F16" s="184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67"/>
      <c r="AM16" s="167"/>
      <c r="AN16" s="167"/>
      <c r="AO16" s="167"/>
      <c r="AP16" s="167"/>
      <c r="AQ16" s="167"/>
      <c r="AR16" s="167"/>
      <c r="AS16" s="167"/>
      <c r="AT16" s="167"/>
      <c r="AU16" s="167"/>
      <c r="AV16" s="167"/>
      <c r="AW16" s="167"/>
      <c r="AX16" s="167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</row>
    <row r="17" spans="1:77" x14ac:dyDescent="0.25">
      <c r="A17" s="1"/>
      <c r="B17" s="184"/>
      <c r="C17" s="1"/>
      <c r="D17" s="1"/>
      <c r="E17" s="1"/>
      <c r="F17" s="18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67"/>
      <c r="AM17" s="167"/>
      <c r="AN17" s="167"/>
      <c r="AO17" s="167"/>
      <c r="AP17" s="167"/>
      <c r="AQ17" s="167"/>
      <c r="AR17" s="167"/>
      <c r="AS17" s="167"/>
      <c r="AT17" s="167"/>
      <c r="AU17" s="167"/>
      <c r="AV17" s="167"/>
      <c r="AW17" s="167"/>
      <c r="AX17" s="167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</row>
    <row r="18" spans="1:77" x14ac:dyDescent="0.25">
      <c r="A18" s="1"/>
      <c r="B18" s="184"/>
      <c r="C18" s="1"/>
      <c r="D18" s="1"/>
      <c r="E18" s="1"/>
      <c r="F18" s="184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67"/>
      <c r="AM18" s="167"/>
      <c r="AN18" s="167"/>
      <c r="AO18" s="167"/>
      <c r="AP18" s="167"/>
      <c r="AQ18" s="167"/>
      <c r="AR18" s="167"/>
      <c r="AS18" s="167"/>
      <c r="AT18" s="167"/>
      <c r="AU18" s="167"/>
      <c r="AV18" s="167"/>
      <c r="AW18" s="167"/>
      <c r="AX18" s="167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</row>
    <row r="19" spans="1:77" x14ac:dyDescent="0.25">
      <c r="A19" s="1"/>
      <c r="B19" s="184"/>
      <c r="C19" s="1"/>
      <c r="D19" s="1"/>
      <c r="E19" s="1"/>
      <c r="F19" s="184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67"/>
      <c r="AM19" s="167"/>
      <c r="AN19" s="167"/>
      <c r="AO19" s="167"/>
      <c r="AP19" s="167"/>
      <c r="AQ19" s="167"/>
      <c r="AR19" s="167"/>
      <c r="AS19" s="167"/>
      <c r="AT19" s="167"/>
      <c r="AU19" s="167"/>
      <c r="AV19" s="167"/>
      <c r="AW19" s="167"/>
      <c r="AX19" s="167"/>
    </row>
    <row r="20" spans="1:77" x14ac:dyDescent="0.25">
      <c r="A20" s="1"/>
      <c r="B20" s="184"/>
      <c r="C20" s="1"/>
      <c r="D20" s="1"/>
      <c r="E20" s="1"/>
      <c r="F20" s="18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67"/>
      <c r="AM20" s="167"/>
      <c r="AN20" s="167"/>
      <c r="AO20" s="167"/>
      <c r="AP20" s="167"/>
      <c r="AQ20" s="167"/>
      <c r="AR20" s="167"/>
      <c r="AS20" s="167"/>
      <c r="AT20" s="167"/>
      <c r="AU20" s="167"/>
      <c r="AV20" s="167"/>
      <c r="AW20" s="167"/>
      <c r="AX20" s="167"/>
    </row>
    <row r="21" spans="1:77" x14ac:dyDescent="0.25">
      <c r="A21" s="1"/>
      <c r="B21" s="184"/>
      <c r="C21" s="1"/>
      <c r="D21" s="1"/>
      <c r="E21" s="1"/>
      <c r="F21" s="18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67"/>
      <c r="AM21" s="167"/>
      <c r="AN21" s="167"/>
      <c r="AO21" s="167"/>
      <c r="AP21" s="167"/>
      <c r="AQ21" s="167"/>
      <c r="AR21" s="167"/>
      <c r="AS21" s="167"/>
      <c r="AT21" s="167"/>
      <c r="AU21" s="167"/>
      <c r="AV21" s="167"/>
      <c r="AW21" s="167"/>
      <c r="AX21" s="167"/>
    </row>
    <row r="22" spans="1:77" x14ac:dyDescent="0.25">
      <c r="A22" s="1"/>
      <c r="B22" s="184"/>
      <c r="C22" s="1"/>
      <c r="D22" s="1"/>
      <c r="E22" s="1"/>
      <c r="F22" s="184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67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</row>
    <row r="23" spans="1:77" x14ac:dyDescent="0.25">
      <c r="A23" s="1"/>
      <c r="B23" s="184"/>
      <c r="C23" s="1"/>
      <c r="D23" s="1"/>
      <c r="E23" s="1"/>
      <c r="F23" s="184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67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</row>
    <row r="24" spans="1:77" x14ac:dyDescent="0.25">
      <c r="A24" s="1"/>
      <c r="B24" s="184"/>
      <c r="C24" s="1"/>
      <c r="D24" s="1"/>
      <c r="E24" s="1"/>
      <c r="F24" s="184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67"/>
      <c r="AM24" s="167"/>
      <c r="AN24" s="167"/>
      <c r="AO24" s="167"/>
      <c r="AP24" s="167"/>
      <c r="AQ24" s="167"/>
      <c r="AR24" s="167"/>
      <c r="AS24" s="167"/>
      <c r="AT24" s="167"/>
      <c r="AU24" s="167"/>
      <c r="AV24" s="167"/>
      <c r="AW24" s="167"/>
      <c r="AX24" s="167"/>
    </row>
    <row r="25" spans="1:77" x14ac:dyDescent="0.25">
      <c r="A25" s="1"/>
      <c r="B25" s="184"/>
      <c r="C25" s="1"/>
      <c r="D25" s="1"/>
      <c r="E25" s="1"/>
      <c r="F25" s="18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67"/>
      <c r="AM25" s="167"/>
      <c r="AN25" s="167"/>
      <c r="AO25" s="167"/>
      <c r="AP25" s="167"/>
      <c r="AQ25" s="167"/>
      <c r="AR25" s="167"/>
      <c r="AS25" s="167"/>
      <c r="AT25" s="167"/>
      <c r="AU25" s="167"/>
      <c r="AV25" s="167"/>
      <c r="AW25" s="167"/>
      <c r="AX25" s="167"/>
    </row>
    <row r="26" spans="1:77" x14ac:dyDescent="0.25">
      <c r="A26" s="1"/>
      <c r="B26" s="184"/>
      <c r="C26" s="1"/>
      <c r="D26" s="1"/>
      <c r="E26" s="1"/>
      <c r="F26" s="18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67"/>
      <c r="AM26" s="167"/>
      <c r="AN26" s="167"/>
      <c r="AO26" s="167"/>
      <c r="AP26" s="167"/>
      <c r="AQ26" s="167"/>
      <c r="AR26" s="167"/>
      <c r="AS26" s="167"/>
      <c r="AT26" s="167"/>
      <c r="AU26" s="167"/>
      <c r="AV26" s="167"/>
      <c r="AW26" s="167"/>
      <c r="AX26" s="167"/>
    </row>
    <row r="27" spans="1:77" x14ac:dyDescent="0.25">
      <c r="A27" s="1"/>
      <c r="B27" s="184"/>
      <c r="C27" s="1"/>
      <c r="D27" s="1"/>
      <c r="E27" s="1"/>
      <c r="F27" s="18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67"/>
      <c r="AM27" s="167"/>
      <c r="AN27" s="167"/>
      <c r="AO27" s="167"/>
      <c r="AP27" s="167"/>
      <c r="AQ27" s="167"/>
      <c r="AR27" s="167"/>
      <c r="AS27" s="167"/>
      <c r="AT27" s="167"/>
      <c r="AU27" s="167"/>
      <c r="AV27" s="167"/>
      <c r="AW27" s="167"/>
      <c r="AX27" s="167"/>
    </row>
    <row r="28" spans="1:77" x14ac:dyDescent="0.25">
      <c r="A28" s="1"/>
      <c r="B28" s="184"/>
      <c r="C28" s="1"/>
      <c r="D28" s="1"/>
      <c r="E28" s="1"/>
      <c r="F28" s="18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67"/>
      <c r="AM28" s="167"/>
      <c r="AN28" s="167"/>
      <c r="AO28" s="167"/>
      <c r="AP28" s="167"/>
      <c r="AQ28" s="167"/>
      <c r="AR28" s="167"/>
      <c r="AS28" s="167"/>
      <c r="AT28" s="167"/>
      <c r="AU28" s="167"/>
      <c r="AV28" s="167"/>
      <c r="AW28" s="167"/>
      <c r="AX28" s="167"/>
    </row>
    <row r="29" spans="1:77" x14ac:dyDescent="0.25">
      <c r="A29" s="1"/>
      <c r="B29" s="184"/>
      <c r="C29" s="1"/>
      <c r="D29" s="1"/>
      <c r="E29" s="1"/>
      <c r="F29" s="18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67"/>
      <c r="AM29" s="167"/>
      <c r="AN29" s="167"/>
      <c r="AO29" s="167"/>
      <c r="AP29" s="167"/>
      <c r="AQ29" s="167"/>
      <c r="AR29" s="167"/>
      <c r="AS29" s="167"/>
      <c r="AT29" s="167"/>
      <c r="AU29" s="167"/>
      <c r="AV29" s="167"/>
      <c r="AW29" s="167"/>
      <c r="AX29" s="167"/>
    </row>
    <row r="30" spans="1:77" x14ac:dyDescent="0.25">
      <c r="A30" s="1"/>
      <c r="B30" s="184"/>
      <c r="C30" s="1"/>
      <c r="D30" s="1"/>
      <c r="E30" s="1"/>
      <c r="F30" s="18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67"/>
      <c r="AM30" s="167"/>
      <c r="AN30" s="167"/>
      <c r="AO30" s="167"/>
      <c r="AP30" s="167"/>
      <c r="AQ30" s="167"/>
      <c r="AR30" s="167"/>
      <c r="AS30" s="167"/>
      <c r="AT30" s="167"/>
      <c r="AU30" s="167"/>
      <c r="AV30" s="167"/>
      <c r="AW30" s="167"/>
      <c r="AX30" s="167"/>
    </row>
    <row r="31" spans="1:77" x14ac:dyDescent="0.25">
      <c r="A31" s="1"/>
      <c r="B31" s="184"/>
      <c r="C31" s="1"/>
      <c r="D31" s="1"/>
      <c r="E31" s="1"/>
      <c r="F31" s="18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67"/>
      <c r="AM31" s="167"/>
      <c r="AN31" s="167"/>
      <c r="AO31" s="167"/>
      <c r="AP31" s="167"/>
      <c r="AQ31" s="167"/>
      <c r="AR31" s="167"/>
      <c r="AS31" s="167"/>
      <c r="AT31" s="167"/>
      <c r="AU31" s="167"/>
      <c r="AV31" s="167"/>
      <c r="AW31" s="167"/>
      <c r="AX31" s="167"/>
    </row>
    <row r="32" spans="1:77" x14ac:dyDescent="0.25">
      <c r="A32" s="1"/>
      <c r="B32" s="184"/>
      <c r="C32" s="1"/>
      <c r="D32" s="1"/>
      <c r="E32" s="1"/>
      <c r="F32" s="18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67"/>
      <c r="AM32" s="167"/>
      <c r="AN32" s="167"/>
      <c r="AO32" s="167"/>
      <c r="AP32" s="167"/>
      <c r="AQ32" s="167"/>
      <c r="AR32" s="167"/>
      <c r="AS32" s="167"/>
      <c r="AT32" s="167"/>
      <c r="AU32" s="167"/>
      <c r="AV32" s="167"/>
      <c r="AW32" s="167"/>
      <c r="AX32" s="167"/>
    </row>
    <row r="33" spans="1:77" x14ac:dyDescent="0.25">
      <c r="A33" s="1"/>
      <c r="B33" s="184"/>
      <c r="C33" s="1"/>
      <c r="D33" s="1"/>
      <c r="E33" s="1"/>
      <c r="F33" s="18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67"/>
      <c r="AM33" s="167"/>
      <c r="AN33" s="167"/>
      <c r="AO33" s="167"/>
      <c r="AP33" s="167"/>
      <c r="AQ33" s="167"/>
      <c r="AR33" s="167"/>
      <c r="AS33" s="167"/>
      <c r="AT33" s="167"/>
      <c r="AU33" s="167"/>
      <c r="AV33" s="167"/>
      <c r="AW33" s="167"/>
      <c r="AX33" s="167"/>
    </row>
    <row r="34" spans="1:77" x14ac:dyDescent="0.25">
      <c r="A34" s="1"/>
      <c r="B34" s="184"/>
      <c r="C34" s="1"/>
      <c r="D34" s="1"/>
      <c r="E34" s="1"/>
      <c r="F34" s="18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67"/>
      <c r="AM34" s="167"/>
      <c r="AN34" s="167"/>
      <c r="AO34" s="167"/>
      <c r="AP34" s="167"/>
      <c r="AQ34" s="167"/>
      <c r="AR34" s="167"/>
      <c r="AS34" s="167"/>
      <c r="AT34" s="167"/>
      <c r="AU34" s="167"/>
      <c r="AV34" s="167"/>
      <c r="AW34" s="167"/>
      <c r="AX34" s="167"/>
    </row>
    <row r="35" spans="1:77" x14ac:dyDescent="0.25">
      <c r="A35" s="1"/>
      <c r="B35" s="184"/>
      <c r="C35" s="1"/>
      <c r="D35" s="1"/>
      <c r="E35" s="1"/>
      <c r="F35" s="18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67"/>
      <c r="AM35" s="167"/>
      <c r="AN35" s="167"/>
      <c r="AO35" s="167"/>
      <c r="AP35" s="167"/>
      <c r="AQ35" s="167"/>
      <c r="AR35" s="167"/>
      <c r="AS35" s="167"/>
      <c r="AT35" s="167"/>
      <c r="AU35" s="167"/>
      <c r="AV35" s="167"/>
      <c r="AW35" s="167"/>
      <c r="AX35" s="167"/>
    </row>
    <row r="36" spans="1:77" x14ac:dyDescent="0.25">
      <c r="A36" s="1"/>
      <c r="B36" s="184"/>
      <c r="C36" s="1"/>
      <c r="D36" s="1"/>
      <c r="E36" s="1"/>
      <c r="F36" s="18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67"/>
      <c r="AM36" s="167"/>
      <c r="AN36" s="167"/>
      <c r="AO36" s="167"/>
      <c r="AP36" s="167"/>
      <c r="AQ36" s="167"/>
      <c r="AR36" s="167"/>
      <c r="AS36" s="167"/>
      <c r="AT36" s="167"/>
      <c r="AU36" s="167"/>
      <c r="AV36" s="167"/>
      <c r="AW36" s="167"/>
      <c r="AX36" s="167"/>
    </row>
    <row r="37" spans="1:77" x14ac:dyDescent="0.25">
      <c r="A37" s="1"/>
      <c r="B37" s="184"/>
      <c r="C37" s="1"/>
      <c r="D37" s="1"/>
      <c r="E37" s="1"/>
      <c r="F37" s="18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67"/>
      <c r="AM37" s="167"/>
      <c r="AN37" s="167"/>
      <c r="AO37" s="167"/>
      <c r="AP37" s="167"/>
      <c r="AQ37" s="167"/>
      <c r="AR37" s="167"/>
      <c r="AS37" s="167"/>
      <c r="AT37" s="167"/>
      <c r="AU37" s="167"/>
      <c r="AV37" s="167"/>
      <c r="AW37" s="167"/>
      <c r="AX37" s="167"/>
    </row>
    <row r="38" spans="1:77" x14ac:dyDescent="0.25">
      <c r="A38" s="1"/>
      <c r="B38" s="184"/>
      <c r="C38" s="1"/>
      <c r="D38" s="1"/>
      <c r="E38" s="1"/>
      <c r="F38" s="18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</row>
    <row r="39" spans="1:77" x14ac:dyDescent="0.25">
      <c r="A39" s="1"/>
      <c r="B39" s="184"/>
      <c r="C39" s="1"/>
      <c r="D39" s="1"/>
      <c r="E39" s="1"/>
      <c r="F39" s="18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</row>
    <row r="40" spans="1:77" x14ac:dyDescent="0.25">
      <c r="A40" s="1"/>
      <c r="B40" s="184"/>
      <c r="C40" s="1"/>
      <c r="D40" s="1"/>
      <c r="E40" s="1"/>
      <c r="F40" s="18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67"/>
      <c r="AM40" s="167"/>
      <c r="AN40" s="167"/>
      <c r="AO40" s="167"/>
      <c r="AP40" s="167"/>
      <c r="AQ40" s="167"/>
      <c r="AR40" s="167"/>
      <c r="AS40" s="167"/>
      <c r="AT40" s="167"/>
      <c r="AU40" s="167"/>
      <c r="AV40" s="167"/>
      <c r="AW40" s="167"/>
      <c r="AX40" s="167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</row>
    <row r="41" spans="1:77" x14ac:dyDescent="0.25">
      <c r="A41" s="1"/>
      <c r="B41" s="184"/>
      <c r="C41" s="1"/>
      <c r="D41" s="1"/>
      <c r="E41" s="1"/>
      <c r="F41" s="18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67"/>
      <c r="AM41" s="167"/>
      <c r="AN41" s="167"/>
      <c r="AO41" s="167"/>
      <c r="AP41" s="167"/>
      <c r="AQ41" s="167"/>
      <c r="AR41" s="167"/>
      <c r="AS41" s="167"/>
      <c r="AT41" s="167"/>
      <c r="AU41" s="167"/>
      <c r="AV41" s="167"/>
      <c r="AW41" s="167"/>
      <c r="AX41" s="167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</row>
    <row r="42" spans="1:77" x14ac:dyDescent="0.25">
      <c r="A42" s="1"/>
      <c r="B42" s="184"/>
      <c r="C42" s="1"/>
      <c r="D42" s="1"/>
      <c r="E42" s="1"/>
      <c r="F42" s="18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</row>
    <row r="43" spans="1:77" x14ac:dyDescent="0.25">
      <c r="A43" s="1"/>
      <c r="B43" s="184"/>
      <c r="C43" s="1"/>
      <c r="D43" s="1"/>
      <c r="E43" s="1"/>
      <c r="F43" s="18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</row>
    <row r="44" spans="1:77" ht="15.75" thickBot="1" x14ac:dyDescent="0.3">
      <c r="A44" s="1"/>
      <c r="B44" s="184"/>
      <c r="C44" s="1"/>
      <c r="D44" s="1"/>
      <c r="E44" s="1"/>
      <c r="F44" s="18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7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</row>
    <row r="45" spans="1:77" ht="22.5" customHeight="1" thickBot="1" x14ac:dyDescent="0.3">
      <c r="A45" s="46" t="s">
        <v>5</v>
      </c>
      <c r="B45" s="308" t="s">
        <v>6</v>
      </c>
      <c r="C45" s="292">
        <v>4</v>
      </c>
      <c r="D45" s="290">
        <v>5</v>
      </c>
      <c r="E45" s="291">
        <v>6</v>
      </c>
      <c r="F45" s="296">
        <v>7</v>
      </c>
      <c r="G45" s="296">
        <v>8</v>
      </c>
      <c r="H45" s="297">
        <v>9</v>
      </c>
      <c r="I45" s="296">
        <v>10</v>
      </c>
      <c r="J45" s="297">
        <v>11</v>
      </c>
      <c r="K45" s="296">
        <v>12</v>
      </c>
      <c r="L45" s="297">
        <v>13</v>
      </c>
      <c r="M45" s="296">
        <v>14</v>
      </c>
      <c r="N45" s="297">
        <v>15</v>
      </c>
      <c r="O45" s="296">
        <v>16</v>
      </c>
      <c r="P45" s="297">
        <v>17</v>
      </c>
      <c r="Q45" s="296">
        <v>18</v>
      </c>
      <c r="R45" s="297">
        <v>19</v>
      </c>
      <c r="S45" s="296">
        <v>20</v>
      </c>
      <c r="T45" s="297">
        <v>21</v>
      </c>
      <c r="U45" s="296">
        <v>22</v>
      </c>
      <c r="V45" s="297">
        <v>23</v>
      </c>
      <c r="W45" s="296">
        <v>24</v>
      </c>
      <c r="X45" s="297">
        <v>1</v>
      </c>
      <c r="Y45" s="296">
        <v>2</v>
      </c>
      <c r="Z45" s="297">
        <v>3</v>
      </c>
      <c r="AA45" s="296">
        <v>4</v>
      </c>
      <c r="AB45" s="297">
        <v>5</v>
      </c>
      <c r="AC45" s="298">
        <v>6</v>
      </c>
      <c r="AD45" s="1"/>
      <c r="AE45" s="1"/>
      <c r="AF45" s="1"/>
      <c r="AG45" s="1"/>
      <c r="AH45" s="1"/>
      <c r="AI45" s="1"/>
      <c r="AJ45" s="1"/>
      <c r="AK45" s="1"/>
      <c r="AL45" s="167"/>
      <c r="AM45" s="167"/>
      <c r="AN45" s="167"/>
      <c r="AO45" s="167"/>
      <c r="AP45" s="167"/>
      <c r="AQ45" s="167"/>
      <c r="AR45" s="167"/>
      <c r="AS45" s="167"/>
      <c r="AT45" s="167"/>
      <c r="AU45" s="167"/>
      <c r="AV45" s="167"/>
      <c r="AW45" s="167"/>
      <c r="AX45" s="167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</row>
    <row r="46" spans="1:77" ht="19.7" customHeight="1" x14ac:dyDescent="0.25">
      <c r="A46" s="47">
        <v>42769</v>
      </c>
      <c r="B46" s="309"/>
      <c r="C46" s="156">
        <v>186.92206299999995</v>
      </c>
      <c r="D46" s="157">
        <v>187.18281499999998</v>
      </c>
      <c r="E46" s="293">
        <v>185.19604999999993</v>
      </c>
      <c r="F46" s="299">
        <v>163.61407700000001</v>
      </c>
      <c r="G46" s="299">
        <v>165.33067099999997</v>
      </c>
      <c r="H46" s="299">
        <v>166.26273399999999</v>
      </c>
      <c r="I46" s="299">
        <v>165.54445999999999</v>
      </c>
      <c r="J46" s="300">
        <v>166.77400100000003</v>
      </c>
      <c r="K46" s="300">
        <v>169.92681000000002</v>
      </c>
      <c r="L46" s="299">
        <v>169.60581999999999</v>
      </c>
      <c r="M46" s="299">
        <v>166.87072100000003</v>
      </c>
      <c r="N46" s="299">
        <v>167.08195999999998</v>
      </c>
      <c r="O46" s="299">
        <v>165.409142</v>
      </c>
      <c r="P46" s="299">
        <v>160.56865900000003</v>
      </c>
      <c r="Q46" s="299">
        <v>156.84316000000001</v>
      </c>
      <c r="R46" s="299">
        <v>159.19912500000001</v>
      </c>
      <c r="S46" s="299">
        <v>160.57524800000004</v>
      </c>
      <c r="T46" s="299">
        <v>163.48030200000005</v>
      </c>
      <c r="U46" s="299">
        <v>163.80339000000004</v>
      </c>
      <c r="V46" s="299">
        <v>160.44423500000005</v>
      </c>
      <c r="W46" s="299">
        <v>162.75624199999999</v>
      </c>
      <c r="X46" s="299">
        <v>165.464912</v>
      </c>
      <c r="Y46" s="299">
        <v>160.1154580000001</v>
      </c>
      <c r="Z46" s="299">
        <v>163.50987600000005</v>
      </c>
      <c r="AA46" s="299">
        <v>161.63872999999998</v>
      </c>
      <c r="AB46" s="299">
        <v>163.75022300000001</v>
      </c>
      <c r="AC46" s="301">
        <v>169.08536400000006</v>
      </c>
      <c r="AD46" s="1"/>
      <c r="AE46" s="1"/>
      <c r="AF46" s="1"/>
      <c r="AG46" s="1"/>
      <c r="AH46" s="1"/>
      <c r="AI46" s="1"/>
      <c r="AJ46" s="1"/>
      <c r="AK46" s="1"/>
      <c r="AL46" s="167"/>
      <c r="AM46" s="167"/>
      <c r="AN46" s="167"/>
      <c r="AO46" s="167"/>
      <c r="AP46" s="167"/>
      <c r="AQ46" s="167"/>
      <c r="AR46" s="167"/>
      <c r="AS46" s="167"/>
      <c r="AT46" s="167"/>
      <c r="AU46" s="167"/>
      <c r="AV46" s="167"/>
      <c r="AW46" s="167"/>
      <c r="AX46" s="167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</row>
    <row r="47" spans="1:77" ht="19.7" customHeight="1" x14ac:dyDescent="0.25">
      <c r="A47" s="49">
        <v>42768</v>
      </c>
      <c r="B47" s="310"/>
      <c r="C47" s="158">
        <v>191.34622500000006</v>
      </c>
      <c r="D47" s="48">
        <v>194.22302600000006</v>
      </c>
      <c r="E47" s="294">
        <v>193.57837800000001</v>
      </c>
      <c r="F47" s="302">
        <v>185.44924300000002</v>
      </c>
      <c r="G47" s="302">
        <v>184.57111200000003</v>
      </c>
      <c r="H47" s="302">
        <v>185.01452299999994</v>
      </c>
      <c r="I47" s="303">
        <v>188.20212199999992</v>
      </c>
      <c r="J47" s="303">
        <v>190.99848499999993</v>
      </c>
      <c r="K47" s="303">
        <v>188.11407699999995</v>
      </c>
      <c r="L47" s="303">
        <v>190.81377099999992</v>
      </c>
      <c r="M47" s="303">
        <v>186.43783999999991</v>
      </c>
      <c r="N47" s="302">
        <v>183.03049500000003</v>
      </c>
      <c r="O47" s="302">
        <v>181.85659700000002</v>
      </c>
      <c r="P47" s="302">
        <v>177.45324999999997</v>
      </c>
      <c r="Q47" s="302">
        <v>177.58917599999995</v>
      </c>
      <c r="R47" s="302">
        <v>176.41456000000005</v>
      </c>
      <c r="S47" s="302">
        <v>172.87826299999992</v>
      </c>
      <c r="T47" s="302">
        <v>173.80621899999994</v>
      </c>
      <c r="U47" s="302">
        <v>177.30487899999991</v>
      </c>
      <c r="V47" s="302">
        <v>176.89952599999992</v>
      </c>
      <c r="W47" s="302">
        <v>183.22515299999995</v>
      </c>
      <c r="X47" s="302">
        <v>183.88778899999997</v>
      </c>
      <c r="Y47" s="302">
        <v>183.91210699999996</v>
      </c>
      <c r="Z47" s="302">
        <v>185.30496499999998</v>
      </c>
      <c r="AA47" s="302">
        <v>186.92206299999995</v>
      </c>
      <c r="AB47" s="302">
        <v>187.18281499999998</v>
      </c>
      <c r="AC47" s="304">
        <v>185.19604999999993</v>
      </c>
      <c r="AD47" s="1"/>
      <c r="AE47" s="1"/>
      <c r="AF47" s="1"/>
      <c r="AG47" s="1"/>
      <c r="AH47" s="1"/>
      <c r="AI47" s="1"/>
      <c r="AJ47" s="1"/>
      <c r="AK47" s="1"/>
      <c r="AL47" s="167"/>
      <c r="AM47" s="167"/>
      <c r="AN47" s="167"/>
      <c r="AO47" s="167"/>
      <c r="AP47" s="167"/>
      <c r="AQ47" s="167"/>
      <c r="AR47" s="167"/>
      <c r="AS47" s="167"/>
      <c r="AT47" s="167"/>
      <c r="AU47" s="167"/>
      <c r="AV47" s="167"/>
      <c r="AW47" s="167"/>
      <c r="AX47" s="167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</row>
    <row r="48" spans="1:77" ht="19.7" customHeight="1" x14ac:dyDescent="0.25">
      <c r="A48" s="49">
        <v>42781</v>
      </c>
      <c r="B48" s="310"/>
      <c r="C48" s="158">
        <v>188.80394700000002</v>
      </c>
      <c r="D48" s="48">
        <v>190.53227200000012</v>
      </c>
      <c r="E48" s="294">
        <v>191.07033399999997</v>
      </c>
      <c r="F48" s="302">
        <v>167.05813500000002</v>
      </c>
      <c r="G48" s="302">
        <v>170.39978099999993</v>
      </c>
      <c r="H48" s="302">
        <v>170.76194700000002</v>
      </c>
      <c r="I48" s="302">
        <v>177.80940100000004</v>
      </c>
      <c r="J48" s="302">
        <v>179.45221299999997</v>
      </c>
      <c r="K48" s="302">
        <v>184.36298899999997</v>
      </c>
      <c r="L48" s="303">
        <v>186.84212900000003</v>
      </c>
      <c r="M48" s="303">
        <v>186.30220400000002</v>
      </c>
      <c r="N48" s="303">
        <v>186.18876700000004</v>
      </c>
      <c r="O48" s="303">
        <v>185.42363500000005</v>
      </c>
      <c r="P48" s="303">
        <v>179.71737900000002</v>
      </c>
      <c r="Q48" s="302">
        <v>176.63733400000001</v>
      </c>
      <c r="R48" s="302">
        <v>174.14763100000002</v>
      </c>
      <c r="S48" s="302">
        <v>170.84973000000008</v>
      </c>
      <c r="T48" s="302">
        <v>171.78827399999997</v>
      </c>
      <c r="U48" s="302">
        <v>174.505922</v>
      </c>
      <c r="V48" s="302">
        <v>173.69458700000001</v>
      </c>
      <c r="W48" s="302">
        <v>171.64759099999998</v>
      </c>
      <c r="X48" s="302">
        <v>172.367141</v>
      </c>
      <c r="Y48" s="302">
        <v>173.686486</v>
      </c>
      <c r="Z48" s="302">
        <v>172.19969500000005</v>
      </c>
      <c r="AA48" s="302">
        <v>172.36758399999999</v>
      </c>
      <c r="AB48" s="302">
        <v>176.47390800000002</v>
      </c>
      <c r="AC48" s="304">
        <v>179.57161400000001</v>
      </c>
      <c r="AD48" s="1"/>
      <c r="AE48" s="1"/>
      <c r="AF48" s="1"/>
      <c r="AG48" s="1"/>
      <c r="AH48" s="1"/>
      <c r="AI48" s="1"/>
      <c r="AJ48" s="1"/>
      <c r="AK48" s="1"/>
      <c r="AL48" s="167"/>
      <c r="AM48" s="167"/>
      <c r="AN48" s="167"/>
      <c r="AO48" s="167"/>
      <c r="AP48" s="167"/>
      <c r="AQ48" s="167"/>
      <c r="AR48" s="167"/>
      <c r="AS48" s="167"/>
      <c r="AT48" s="167"/>
      <c r="AU48" s="167"/>
      <c r="AV48" s="167"/>
      <c r="AW48" s="167"/>
      <c r="AX48" s="167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</row>
    <row r="49" spans="1:77" ht="19.7" customHeight="1" thickBot="1" x14ac:dyDescent="0.3">
      <c r="A49" s="49">
        <v>42770</v>
      </c>
      <c r="B49" s="310"/>
      <c r="C49" s="159">
        <v>161.63872999999998</v>
      </c>
      <c r="D49" s="160">
        <v>163.75022300000001</v>
      </c>
      <c r="E49" s="295">
        <v>169.08536400000006</v>
      </c>
      <c r="F49" s="305">
        <v>129.32279600000001</v>
      </c>
      <c r="G49" s="305">
        <v>131.93843099999998</v>
      </c>
      <c r="H49" s="305">
        <v>132.60688300000001</v>
      </c>
      <c r="I49" s="305">
        <v>133.62497300000001</v>
      </c>
      <c r="J49" s="305">
        <v>135.417914</v>
      </c>
      <c r="K49" s="305">
        <v>136.82815600000001</v>
      </c>
      <c r="L49" s="305">
        <v>138.86526299999997</v>
      </c>
      <c r="M49" s="305">
        <v>136.06222999999994</v>
      </c>
      <c r="N49" s="305">
        <v>133.67472799999999</v>
      </c>
      <c r="O49" s="305">
        <v>134.93090800000002</v>
      </c>
      <c r="P49" s="305">
        <v>135.03663599999996</v>
      </c>
      <c r="Q49" s="305">
        <v>135.88851900000003</v>
      </c>
      <c r="R49" s="305">
        <v>135.55403000000001</v>
      </c>
      <c r="S49" s="305">
        <v>135.26834900000009</v>
      </c>
      <c r="T49" s="305">
        <v>138.25575100000006</v>
      </c>
      <c r="U49" s="305">
        <v>137.89493400000001</v>
      </c>
      <c r="V49" s="305">
        <v>136.81424099999998</v>
      </c>
      <c r="W49" s="305">
        <v>137.276839</v>
      </c>
      <c r="X49" s="305">
        <v>138.350413</v>
      </c>
      <c r="Y49" s="305">
        <v>139.514678</v>
      </c>
      <c r="Z49" s="305">
        <v>139.74819999999997</v>
      </c>
      <c r="AA49" s="305">
        <v>138.60707500000007</v>
      </c>
      <c r="AB49" s="305">
        <v>141.36404899999997</v>
      </c>
      <c r="AC49" s="306">
        <v>140.354274</v>
      </c>
      <c r="AD49" s="1"/>
      <c r="AE49" s="1"/>
      <c r="AF49" s="1"/>
      <c r="AG49" s="1"/>
      <c r="AH49" s="1"/>
      <c r="AI49" s="1"/>
      <c r="AJ49" s="1"/>
      <c r="AK49" s="1"/>
      <c r="AL49" s="167"/>
      <c r="AM49" s="167"/>
      <c r="AN49" s="167"/>
      <c r="AO49" s="167"/>
      <c r="AP49" s="167"/>
      <c r="AQ49" s="167"/>
      <c r="AR49" s="167"/>
      <c r="AS49" s="167"/>
      <c r="AT49" s="167"/>
      <c r="AU49" s="167"/>
      <c r="AV49" s="167"/>
      <c r="AW49" s="167"/>
      <c r="AX49" s="167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</row>
    <row r="50" spans="1:77" ht="21" customHeight="1" thickBot="1" x14ac:dyDescent="0.3">
      <c r="A50" s="50" t="s">
        <v>7</v>
      </c>
      <c r="B50" s="311"/>
      <c r="C50" s="52">
        <v>190.07508600000006</v>
      </c>
      <c r="D50" s="51">
        <v>192.37764900000008</v>
      </c>
      <c r="E50" s="161">
        <v>192.32435599999999</v>
      </c>
      <c r="F50" s="51">
        <v>176.25368900000001</v>
      </c>
      <c r="G50" s="51">
        <v>177.48544649999997</v>
      </c>
      <c r="H50" s="51">
        <v>177.88823499999998</v>
      </c>
      <c r="I50" s="51">
        <v>183.00576149999998</v>
      </c>
      <c r="J50" s="51">
        <v>185.22534899999994</v>
      </c>
      <c r="K50" s="51">
        <v>186.23853299999996</v>
      </c>
      <c r="L50" s="51">
        <v>188.82794999999999</v>
      </c>
      <c r="M50" s="51">
        <v>186.37002199999995</v>
      </c>
      <c r="N50" s="51">
        <v>184.60963100000004</v>
      </c>
      <c r="O50" s="51">
        <v>183.64011600000003</v>
      </c>
      <c r="P50" s="51">
        <v>178.58531449999998</v>
      </c>
      <c r="Q50" s="51">
        <v>177.11325499999998</v>
      </c>
      <c r="R50" s="51">
        <v>175.28109550000005</v>
      </c>
      <c r="S50" s="51">
        <v>171.86399649999998</v>
      </c>
      <c r="T50" s="51">
        <v>172.79724649999997</v>
      </c>
      <c r="U50" s="51">
        <v>175.90540049999996</v>
      </c>
      <c r="V50" s="51">
        <v>175.29705649999997</v>
      </c>
      <c r="W50" s="51">
        <v>177.43637199999995</v>
      </c>
      <c r="X50" s="51">
        <v>178.12746499999997</v>
      </c>
      <c r="Y50" s="51">
        <v>178.79929649999997</v>
      </c>
      <c r="Z50" s="51">
        <v>178.75233000000003</v>
      </c>
      <c r="AA50" s="51">
        <v>179.64482349999997</v>
      </c>
      <c r="AB50" s="51">
        <v>181.8283615</v>
      </c>
      <c r="AC50" s="161">
        <v>182.38383199999998</v>
      </c>
      <c r="AD50" s="1"/>
      <c r="AE50" s="1"/>
      <c r="AF50" s="1"/>
      <c r="AG50" s="1"/>
      <c r="AH50" s="1"/>
      <c r="AI50" s="1"/>
      <c r="AJ50" s="1"/>
      <c r="AK50" s="1"/>
      <c r="AL50" s="167"/>
      <c r="AM50" s="167"/>
      <c r="AN50" s="167"/>
      <c r="AO50" s="167"/>
      <c r="AP50" s="167"/>
      <c r="AQ50" s="167"/>
      <c r="AR50" s="167"/>
      <c r="AS50" s="167"/>
      <c r="AT50" s="167"/>
      <c r="AU50" s="167"/>
      <c r="AV50" s="167"/>
      <c r="AW50" s="167"/>
      <c r="AX50" s="167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</row>
    <row r="51" spans="1:77" ht="17.45" customHeight="1" x14ac:dyDescent="0.25">
      <c r="A51" s="1"/>
      <c r="B51" s="1"/>
      <c r="C51" s="391"/>
      <c r="D51" s="392"/>
      <c r="E51" s="392"/>
      <c r="F51" s="393"/>
      <c r="G51" s="392"/>
      <c r="H51" s="392"/>
      <c r="I51" s="392"/>
      <c r="J51" s="392"/>
      <c r="K51" s="392"/>
      <c r="L51" s="392"/>
      <c r="M51" s="392"/>
      <c r="N51" s="392"/>
      <c r="O51" s="392"/>
      <c r="P51" s="392"/>
      <c r="Q51" s="392"/>
      <c r="R51" s="392"/>
      <c r="S51" s="392"/>
      <c r="T51" s="392"/>
      <c r="U51" s="392"/>
      <c r="V51" s="392"/>
      <c r="W51" s="392"/>
      <c r="X51" s="392"/>
      <c r="Y51" s="392"/>
      <c r="Z51" s="392"/>
      <c r="AA51" s="392"/>
      <c r="AB51" s="392"/>
      <c r="AC51" s="394"/>
      <c r="AD51" s="1"/>
      <c r="AE51" s="1"/>
      <c r="AF51" s="1"/>
      <c r="AG51" s="1"/>
      <c r="AH51" s="1"/>
      <c r="AI51" s="1"/>
      <c r="AJ51" s="1"/>
      <c r="AK51" s="1"/>
      <c r="AL51" s="167"/>
      <c r="AM51" s="167"/>
      <c r="AN51" s="167"/>
      <c r="AO51" s="167"/>
      <c r="AP51" s="167"/>
      <c r="AQ51" s="167"/>
      <c r="AR51" s="167"/>
      <c r="AS51" s="167"/>
      <c r="AT51" s="167"/>
      <c r="AU51" s="167"/>
      <c r="AV51" s="167"/>
      <c r="AW51" s="167"/>
      <c r="AX51" s="167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</row>
    <row r="52" spans="1:77" ht="15.75" thickBot="1" x14ac:dyDescent="0.3">
      <c r="A52" s="1"/>
      <c r="B52" s="53" t="s">
        <v>19</v>
      </c>
      <c r="C52" s="395"/>
      <c r="D52" s="396"/>
      <c r="E52" s="396"/>
      <c r="F52" s="397"/>
      <c r="G52" s="398"/>
      <c r="H52" s="398"/>
      <c r="I52" s="398"/>
      <c r="J52" s="398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  <c r="AB52" s="398"/>
      <c r="AC52" s="399"/>
      <c r="AD52" s="1"/>
      <c r="AE52" s="1"/>
      <c r="AF52" s="1"/>
      <c r="AG52" s="1"/>
      <c r="AH52" s="1"/>
      <c r="AI52" s="1"/>
      <c r="AJ52" s="1"/>
      <c r="AK52" s="1"/>
      <c r="AL52" s="167"/>
      <c r="AM52" s="167"/>
      <c r="AN52" s="167"/>
      <c r="AO52" s="167"/>
      <c r="AP52" s="167"/>
      <c r="AQ52" s="167"/>
      <c r="AR52" s="167"/>
      <c r="AS52" s="167"/>
      <c r="AT52" s="167"/>
      <c r="AU52" s="167"/>
      <c r="AV52" s="167"/>
      <c r="AW52" s="167"/>
      <c r="AX52" s="167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</row>
    <row r="53" spans="1:77" ht="15.75" customHeight="1" thickBot="1" x14ac:dyDescent="0.3">
      <c r="A53" s="53"/>
      <c r="B53" s="54">
        <v>16</v>
      </c>
      <c r="C53" s="55"/>
      <c r="D53" s="56"/>
      <c r="E53" s="57"/>
      <c r="F53" s="52">
        <f ca="1">(OFFSET('Analiza - 1'!$N$11,F45,0)+F50)</f>
        <v>176.25368900000001</v>
      </c>
      <c r="G53" s="52">
        <f ca="1">(OFFSET('Analiza - 1'!$N$11,G45,0)+G50)</f>
        <v>177.48544649999997</v>
      </c>
      <c r="H53" s="52">
        <f ca="1">(OFFSET('Analiza - 1'!$N$11,H45,0)+H50)</f>
        <v>177.88823499999998</v>
      </c>
      <c r="I53" s="52">
        <f ca="1">(OFFSET('Analiza - 1'!$N$11,I45,0)+I50)</f>
        <v>183.00576149999998</v>
      </c>
      <c r="J53" s="52">
        <f ca="1">(OFFSET('Analiza - 1'!$N$11,J45,0)+J50)</f>
        <v>185.22534899999994</v>
      </c>
      <c r="K53" s="52">
        <f ca="1">(OFFSET('Analiza - 1'!$N$11,K45,0)+K50)</f>
        <v>186.23853299999996</v>
      </c>
      <c r="L53" s="52">
        <f ca="1">(OFFSET('Analiza - 1'!$N$11,L45,0)+L50)</f>
        <v>188.82794999999999</v>
      </c>
      <c r="M53" s="52">
        <f ca="1">(OFFSET('Analiza - 1'!$N$11,M45,0)+M50)</f>
        <v>186.37002199999995</v>
      </c>
      <c r="N53" s="52">
        <f ca="1">(OFFSET('Analiza - 1'!$N$11,N45,0)+N50)</f>
        <v>184.60963100000004</v>
      </c>
      <c r="O53" s="52">
        <f ca="1">(OFFSET('Analiza - 1'!$N$11,O45,0)+O50)</f>
        <v>183.64011600000003</v>
      </c>
      <c r="P53" s="52">
        <f ca="1">(OFFSET('Analiza - 1'!$N$11,P45,0)+P50)</f>
        <v>178.58531449999998</v>
      </c>
      <c r="Q53" s="52">
        <f ca="1">(OFFSET('Analiza - 1'!$N$11,Q45,0)+Q50)</f>
        <v>177.11325499999998</v>
      </c>
      <c r="R53" s="52">
        <f ca="1">(OFFSET('Analiza - 1'!$N$11,R45,0)+R50)</f>
        <v>175.28109550000005</v>
      </c>
      <c r="S53" s="52">
        <f ca="1">(OFFSET('Analiza - 1'!$N$11,S45,0)+S50)</f>
        <v>171.86399649999998</v>
      </c>
      <c r="T53" s="52">
        <f ca="1">(OFFSET('Analiza - 1'!$N$11,T45,0)+T50)</f>
        <v>172.79724649999997</v>
      </c>
      <c r="U53" s="52">
        <f ca="1">(OFFSET('Analiza - 1'!$N$11,U45,0)+U50)</f>
        <v>175.90540049999996</v>
      </c>
      <c r="V53" s="52">
        <f ca="1">(OFFSET('Analiza - 1'!$N$11,V45,0)+V50)</f>
        <v>175.29705649999997</v>
      </c>
      <c r="W53" s="52">
        <f ca="1">(OFFSET('Analiza - 1'!$N$11,W45,0)+W50)</f>
        <v>177.43637199999995</v>
      </c>
      <c r="X53" s="52">
        <f ca="1">(OFFSET('Analiza - 1'!$N$11,X45,0)+X50)</f>
        <v>178.12746499999997</v>
      </c>
      <c r="Y53" s="52">
        <f ca="1">(OFFSET('Analiza - 1'!$N$11,Y45,0)+Y50)</f>
        <v>178.79929649999997</v>
      </c>
      <c r="Z53" s="52">
        <f ca="1">(OFFSET('Analiza - 1'!$N$11,Z45,0)+Z50)</f>
        <v>178.75233000000003</v>
      </c>
      <c r="AA53" s="52">
        <f ca="1">(OFFSET('Analiza - 1'!$N$11,AA45,0)+AA50)</f>
        <v>179.64482349999997</v>
      </c>
      <c r="AB53" s="52">
        <f ca="1">(OFFSET('Analiza - 1'!$N$11,AB45,0)+AB50)</f>
        <v>181.8283615</v>
      </c>
      <c r="AC53" s="52">
        <f ca="1">(OFFSET('Analiza - 1'!$N$11,AC45,0)+AC50)</f>
        <v>182.38383199999998</v>
      </c>
      <c r="AD53" s="1"/>
      <c r="AE53" s="1"/>
      <c r="AF53" s="1"/>
      <c r="AG53" s="1"/>
      <c r="AH53" s="1"/>
      <c r="AI53" s="1"/>
      <c r="AJ53" s="1"/>
      <c r="AK53" s="1"/>
      <c r="AL53" s="167"/>
      <c r="AM53" s="167"/>
      <c r="AN53" s="167"/>
      <c r="AO53" s="167"/>
      <c r="AP53" s="167"/>
      <c r="AQ53" s="167"/>
      <c r="AR53" s="167"/>
      <c r="AS53" s="167"/>
      <c r="AT53" s="167"/>
      <c r="AU53" s="167"/>
      <c r="AV53" s="167"/>
      <c r="AW53" s="167"/>
      <c r="AX53" s="167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</row>
    <row r="54" spans="1:77" ht="16.5" customHeight="1" x14ac:dyDescent="0.25">
      <c r="A54" s="165"/>
      <c r="B54" s="165"/>
      <c r="C54" s="165"/>
      <c r="D54" s="165"/>
      <c r="E54" s="166"/>
      <c r="F54" s="312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  <c r="AB54" s="166"/>
      <c r="AC54" s="166"/>
      <c r="AD54" s="167"/>
      <c r="AE54" s="167"/>
      <c r="AF54" s="167"/>
      <c r="AG54" s="167"/>
      <c r="AH54" s="167"/>
      <c r="AI54" s="167"/>
      <c r="AJ54" s="167"/>
      <c r="AK54" s="167"/>
      <c r="AL54" s="167"/>
      <c r="AM54" s="167"/>
      <c r="AN54" s="167"/>
      <c r="AO54" s="167"/>
      <c r="AP54" s="167"/>
      <c r="AQ54" s="167"/>
      <c r="AR54" s="167"/>
      <c r="AS54" s="167"/>
      <c r="AT54" s="167"/>
      <c r="AU54" s="167"/>
      <c r="AV54" s="167"/>
      <c r="AW54" s="167"/>
      <c r="AX54" s="167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</row>
    <row r="55" spans="1:77" x14ac:dyDescent="0.25">
      <c r="A55" s="165"/>
      <c r="B55" s="165"/>
      <c r="C55" s="165"/>
      <c r="D55" s="165"/>
      <c r="E55" s="165"/>
      <c r="F55" s="181"/>
      <c r="G55" s="168"/>
      <c r="H55" s="168"/>
      <c r="I55" s="168"/>
      <c r="J55" s="168"/>
      <c r="K55" s="168"/>
      <c r="L55" s="168"/>
      <c r="M55" s="168"/>
      <c r="N55" s="168"/>
      <c r="O55" s="168"/>
      <c r="P55" s="168"/>
      <c r="Q55" s="168"/>
      <c r="R55" s="168"/>
      <c r="S55" s="168"/>
      <c r="T55" s="168"/>
      <c r="U55" s="168"/>
      <c r="V55" s="168"/>
      <c r="W55" s="168"/>
      <c r="X55" s="168"/>
      <c r="Y55" s="168"/>
      <c r="Z55" s="168"/>
      <c r="AA55" s="168"/>
      <c r="AB55" s="168"/>
      <c r="AC55" s="168"/>
      <c r="AD55" s="167"/>
      <c r="AE55" s="167"/>
      <c r="AF55" s="167"/>
      <c r="AG55" s="167"/>
      <c r="AH55" s="167"/>
      <c r="AI55" s="167"/>
      <c r="AJ55" s="167"/>
      <c r="AK55" s="167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</row>
    <row r="56" spans="1:77" ht="16.5" customHeight="1" x14ac:dyDescent="0.25">
      <c r="A56" s="165"/>
      <c r="B56" s="165"/>
      <c r="C56" s="165"/>
      <c r="D56" s="165"/>
      <c r="E56" s="165"/>
      <c r="F56" s="313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  <c r="Y56" s="169"/>
      <c r="Z56" s="169"/>
      <c r="AA56" s="169"/>
      <c r="AB56" s="169"/>
      <c r="AC56" s="169"/>
      <c r="AD56" s="167"/>
      <c r="AE56" s="167"/>
      <c r="AF56" s="167"/>
      <c r="AG56" s="167"/>
      <c r="AH56" s="167"/>
      <c r="AI56" s="167"/>
      <c r="AJ56" s="167"/>
      <c r="AK56" s="167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</row>
    <row r="57" spans="1:77" x14ac:dyDescent="0.25">
      <c r="A57" s="165"/>
      <c r="B57" s="165"/>
      <c r="C57" s="165"/>
      <c r="D57" s="165"/>
      <c r="E57" s="165"/>
      <c r="F57" s="312"/>
      <c r="G57" s="170"/>
      <c r="H57" s="170"/>
      <c r="I57" s="170"/>
      <c r="J57" s="170"/>
      <c r="K57" s="170"/>
      <c r="L57" s="170"/>
      <c r="M57" s="170"/>
      <c r="N57" s="170"/>
      <c r="O57" s="170"/>
      <c r="P57" s="170"/>
      <c r="Q57" s="170"/>
      <c r="R57" s="170"/>
      <c r="S57" s="170"/>
      <c r="T57" s="170"/>
      <c r="U57" s="170"/>
      <c r="V57" s="170"/>
      <c r="W57" s="170"/>
      <c r="X57" s="170"/>
      <c r="Y57" s="170"/>
      <c r="Z57" s="170"/>
      <c r="AA57" s="170"/>
      <c r="AB57" s="170"/>
      <c r="AC57" s="170"/>
      <c r="AD57" s="167"/>
      <c r="AE57" s="167"/>
      <c r="AF57" s="167"/>
      <c r="AG57" s="167"/>
      <c r="AH57" s="167"/>
      <c r="AI57" s="167"/>
      <c r="AJ57" s="167"/>
      <c r="AK57" s="167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</row>
    <row r="58" spans="1:77" x14ac:dyDescent="0.25">
      <c r="A58" s="165"/>
      <c r="B58" s="165"/>
      <c r="C58" s="165"/>
      <c r="D58" s="165"/>
      <c r="E58" s="165"/>
      <c r="F58" s="314"/>
      <c r="G58" s="165"/>
      <c r="H58" s="165"/>
      <c r="I58" s="165"/>
      <c r="J58" s="166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7"/>
      <c r="AE58" s="167"/>
      <c r="AF58" s="167"/>
      <c r="AG58" s="167"/>
      <c r="AH58" s="167"/>
      <c r="AI58" s="167"/>
      <c r="AJ58" s="167"/>
      <c r="AK58" s="167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</row>
    <row r="59" spans="1:77" x14ac:dyDescent="0.25">
      <c r="A59" s="165"/>
      <c r="B59" s="165"/>
      <c r="C59" s="165"/>
      <c r="D59" s="165"/>
      <c r="E59" s="165"/>
      <c r="F59" s="314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7"/>
      <c r="AE59" s="167"/>
      <c r="AF59" s="167"/>
      <c r="AG59" s="167"/>
      <c r="AH59" s="167"/>
      <c r="AI59" s="167"/>
      <c r="AJ59" s="167"/>
      <c r="AK59" s="167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</row>
    <row r="60" spans="1:77" x14ac:dyDescent="0.25">
      <c r="A60" s="165"/>
      <c r="B60" s="165"/>
      <c r="C60" s="165"/>
      <c r="D60" s="165"/>
      <c r="E60" s="165"/>
      <c r="F60" s="314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7"/>
      <c r="AE60" s="167"/>
      <c r="AF60" s="167"/>
      <c r="AG60" s="167"/>
      <c r="AH60" s="167"/>
      <c r="AI60" s="167"/>
      <c r="AJ60" s="167"/>
      <c r="AK60" s="167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</row>
    <row r="61" spans="1:77" x14ac:dyDescent="0.25">
      <c r="A61" s="165"/>
      <c r="B61" s="165"/>
      <c r="C61" s="165"/>
      <c r="D61" s="165"/>
      <c r="E61" s="165"/>
      <c r="F61" s="314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7"/>
      <c r="AE61" s="167"/>
      <c r="AF61" s="167"/>
      <c r="AG61" s="167"/>
      <c r="AH61" s="167"/>
      <c r="AI61" s="167"/>
      <c r="AJ61" s="167"/>
      <c r="AK61" s="167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</row>
    <row r="62" spans="1:77" x14ac:dyDescent="0.25">
      <c r="A62" s="165"/>
      <c r="B62" s="165"/>
      <c r="C62" s="165"/>
      <c r="D62" s="165"/>
      <c r="E62" s="165"/>
      <c r="F62" s="314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7"/>
      <c r="AE62" s="167"/>
      <c r="AF62" s="167"/>
      <c r="AG62" s="167"/>
      <c r="AH62" s="167"/>
      <c r="AI62" s="167"/>
      <c r="AJ62" s="167"/>
      <c r="AK62" s="167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</row>
    <row r="63" spans="1:77" x14ac:dyDescent="0.25">
      <c r="A63" s="165"/>
      <c r="B63" s="165"/>
      <c r="C63" s="165"/>
      <c r="D63" s="165"/>
      <c r="E63" s="165"/>
      <c r="F63" s="314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</row>
    <row r="64" spans="1:77" x14ac:dyDescent="0.25">
      <c r="A64" s="165"/>
      <c r="B64" s="165"/>
      <c r="C64" s="165"/>
      <c r="D64" s="165"/>
      <c r="E64" s="165"/>
      <c r="F64" s="314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</row>
    <row r="65" spans="1:50" x14ac:dyDescent="0.25">
      <c r="A65" s="165"/>
      <c r="B65" s="165"/>
      <c r="C65" s="165"/>
      <c r="D65" s="165"/>
      <c r="E65" s="165"/>
      <c r="F65" s="314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</row>
    <row r="66" spans="1:50" x14ac:dyDescent="0.25">
      <c r="A66" s="165"/>
      <c r="B66" s="165"/>
      <c r="C66" s="165"/>
      <c r="D66" s="165"/>
      <c r="E66" s="165"/>
      <c r="F66" s="314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</row>
    <row r="67" spans="1:50" x14ac:dyDescent="0.25">
      <c r="A67" s="165"/>
      <c r="B67" s="165"/>
      <c r="C67" s="165"/>
      <c r="D67" s="165"/>
      <c r="E67" s="165"/>
      <c r="F67" s="314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</row>
    <row r="68" spans="1:50" x14ac:dyDescent="0.25">
      <c r="A68" s="165"/>
      <c r="B68" s="165"/>
      <c r="C68" s="165"/>
      <c r="D68" s="165"/>
      <c r="E68" s="165"/>
      <c r="F68" s="314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</row>
    <row r="69" spans="1:50" x14ac:dyDescent="0.25">
      <c r="A69" s="165"/>
      <c r="B69" s="165"/>
      <c r="C69" s="165"/>
      <c r="D69" s="165"/>
      <c r="E69" s="165"/>
      <c r="F69" s="314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</row>
    <row r="70" spans="1:50" x14ac:dyDescent="0.25">
      <c r="A70" s="165"/>
      <c r="B70" s="165"/>
      <c r="C70" s="165"/>
      <c r="D70" s="165"/>
      <c r="E70" s="165"/>
      <c r="F70" s="314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</row>
    <row r="71" spans="1:50" x14ac:dyDescent="0.25">
      <c r="A71" s="165"/>
      <c r="B71" s="165"/>
      <c r="C71" s="165"/>
      <c r="D71" s="165"/>
      <c r="E71" s="165"/>
      <c r="F71" s="314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</row>
    <row r="72" spans="1:50" x14ac:dyDescent="0.25">
      <c r="A72" s="165"/>
      <c r="B72" s="165"/>
      <c r="C72" s="165"/>
      <c r="D72" s="165"/>
      <c r="E72" s="165"/>
      <c r="F72" s="314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</row>
    <row r="73" spans="1:50" x14ac:dyDescent="0.25">
      <c r="A73" s="165"/>
      <c r="B73" s="165"/>
      <c r="C73" s="165"/>
      <c r="D73" s="165"/>
      <c r="E73" s="165"/>
      <c r="F73" s="314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</row>
    <row r="74" spans="1:50" x14ac:dyDescent="0.25">
      <c r="A74" s="165"/>
      <c r="B74" s="165"/>
      <c r="C74" s="165"/>
      <c r="D74" s="165"/>
      <c r="E74" s="165"/>
      <c r="F74" s="314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</row>
    <row r="75" spans="1:50" x14ac:dyDescent="0.25">
      <c r="A75" s="165"/>
      <c r="B75" s="165"/>
      <c r="C75" s="165"/>
      <c r="D75" s="165"/>
      <c r="E75" s="165"/>
      <c r="F75" s="314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</row>
    <row r="76" spans="1:50" x14ac:dyDescent="0.25">
      <c r="A76" s="165"/>
      <c r="B76" s="165"/>
      <c r="C76" s="165"/>
      <c r="D76" s="165"/>
      <c r="E76" s="165"/>
      <c r="F76" s="314"/>
      <c r="G76" s="165"/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</row>
    <row r="77" spans="1:50" x14ac:dyDescent="0.25">
      <c r="A77" s="165"/>
      <c r="B77" s="165"/>
      <c r="C77" s="165"/>
      <c r="D77" s="165"/>
      <c r="E77" s="165"/>
      <c r="F77" s="314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</row>
    <row r="78" spans="1:50" x14ac:dyDescent="0.25">
      <c r="A78" s="165"/>
      <c r="B78" s="165"/>
      <c r="C78" s="165"/>
      <c r="D78" s="165"/>
      <c r="E78" s="165"/>
      <c r="F78" s="314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</row>
    <row r="79" spans="1:50" x14ac:dyDescent="0.25">
      <c r="A79" s="165"/>
      <c r="B79" s="165"/>
      <c r="C79" s="165"/>
      <c r="D79" s="165"/>
      <c r="E79" s="165"/>
      <c r="F79" s="314"/>
      <c r="G79" s="165"/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</row>
    <row r="80" spans="1:50" x14ac:dyDescent="0.25">
      <c r="A80" s="165"/>
      <c r="B80" s="165"/>
      <c r="C80" s="165"/>
      <c r="D80" s="165"/>
      <c r="E80" s="165"/>
      <c r="F80" s="314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</row>
    <row r="81" spans="1:50" x14ac:dyDescent="0.25">
      <c r="A81" s="165"/>
      <c r="B81" s="165"/>
      <c r="C81" s="165"/>
      <c r="D81" s="165"/>
      <c r="E81" s="165"/>
      <c r="F81" s="314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</row>
    <row r="82" spans="1:50" x14ac:dyDescent="0.25">
      <c r="A82" s="165"/>
      <c r="B82" s="165"/>
      <c r="C82" s="165"/>
      <c r="D82" s="165"/>
      <c r="E82" s="165"/>
      <c r="F82" s="314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</row>
    <row r="83" spans="1:50" x14ac:dyDescent="0.25">
      <c r="A83" s="165"/>
      <c r="B83" s="165"/>
      <c r="C83" s="165"/>
      <c r="D83" s="165"/>
      <c r="E83" s="165"/>
      <c r="F83" s="314"/>
      <c r="G83" s="165"/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</row>
    <row r="84" spans="1:50" x14ac:dyDescent="0.25">
      <c r="A84" s="165"/>
      <c r="B84" s="165"/>
      <c r="C84" s="165"/>
      <c r="D84" s="165"/>
      <c r="E84" s="165"/>
      <c r="F84" s="314"/>
      <c r="G84" s="165"/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</row>
    <row r="85" spans="1:50" x14ac:dyDescent="0.25">
      <c r="A85" s="165"/>
      <c r="B85" s="165"/>
      <c r="C85" s="165"/>
      <c r="D85" s="165"/>
      <c r="E85" s="165"/>
      <c r="F85" s="314"/>
      <c r="G85" s="165"/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71"/>
      <c r="AE85" s="171"/>
      <c r="AF85" s="171"/>
      <c r="AG85" s="171"/>
      <c r="AH85" s="171"/>
      <c r="AI85" s="171"/>
      <c r="AJ85" s="171"/>
      <c r="AK85" s="171"/>
      <c r="AL85" s="171"/>
      <c r="AM85" s="171"/>
      <c r="AN85" s="171"/>
      <c r="AO85" s="171"/>
      <c r="AP85" s="171"/>
      <c r="AQ85" s="171"/>
      <c r="AR85" s="171"/>
      <c r="AS85" s="171"/>
      <c r="AT85" s="171"/>
      <c r="AU85" s="171"/>
      <c r="AV85" s="171"/>
      <c r="AW85" s="171"/>
      <c r="AX85" s="171"/>
    </row>
    <row r="86" spans="1:50" x14ac:dyDescent="0.25">
      <c r="A86" s="165"/>
      <c r="B86" s="165"/>
      <c r="C86" s="165"/>
      <c r="D86" s="165"/>
      <c r="E86" s="165"/>
      <c r="F86" s="314"/>
      <c r="G86" s="165"/>
      <c r="H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</row>
    <row r="87" spans="1:50" x14ac:dyDescent="0.25">
      <c r="A87" s="165"/>
      <c r="B87" s="165"/>
      <c r="C87" s="165"/>
      <c r="D87" s="165"/>
      <c r="E87" s="165"/>
      <c r="F87" s="314"/>
      <c r="G87" s="165"/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</row>
    <row r="88" spans="1:50" x14ac:dyDescent="0.25">
      <c r="A88" s="165"/>
      <c r="B88" s="165"/>
      <c r="C88" s="165"/>
      <c r="D88" s="165"/>
      <c r="E88" s="165"/>
      <c r="F88" s="314"/>
      <c r="G88" s="165"/>
      <c r="H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</row>
    <row r="89" spans="1:50" x14ac:dyDescent="0.25">
      <c r="A89" s="165"/>
      <c r="B89" s="165"/>
      <c r="C89" s="165"/>
      <c r="D89" s="165"/>
      <c r="E89" s="165"/>
      <c r="F89" s="314"/>
      <c r="G89" s="165"/>
      <c r="H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</row>
    <row r="90" spans="1:50" x14ac:dyDescent="0.25">
      <c r="A90" s="165"/>
      <c r="B90" s="165"/>
      <c r="C90" s="165"/>
      <c r="D90" s="165"/>
      <c r="E90" s="165"/>
      <c r="F90" s="314"/>
      <c r="G90" s="165"/>
      <c r="H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</row>
    <row r="91" spans="1:50" x14ac:dyDescent="0.25">
      <c r="A91" s="165"/>
      <c r="B91" s="165"/>
      <c r="C91" s="165"/>
      <c r="D91" s="165"/>
      <c r="E91" s="165"/>
      <c r="F91" s="314"/>
      <c r="G91" s="165"/>
      <c r="H91" s="165"/>
      <c r="I91" s="165"/>
      <c r="J91" s="165"/>
      <c r="K91" s="165"/>
      <c r="L91" s="165"/>
      <c r="M91" s="165"/>
      <c r="N91" s="165"/>
      <c r="O91" s="165"/>
      <c r="P91" s="165"/>
      <c r="Q91" s="165"/>
      <c r="R91" s="165"/>
      <c r="S91" s="165"/>
      <c r="T91" s="165"/>
      <c r="U91" s="165"/>
      <c r="V91" s="165"/>
      <c r="W91" s="165"/>
      <c r="X91" s="165"/>
      <c r="Y91" s="165"/>
      <c r="Z91" s="165"/>
      <c r="AA91" s="165"/>
      <c r="AB91" s="165"/>
      <c r="AC91" s="165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</row>
    <row r="92" spans="1:50" x14ac:dyDescent="0.25">
      <c r="A92" s="165"/>
      <c r="B92" s="165"/>
      <c r="C92" s="165"/>
      <c r="D92" s="165"/>
      <c r="E92" s="165"/>
      <c r="F92" s="314"/>
      <c r="G92" s="165"/>
      <c r="H92" s="165"/>
      <c r="I92" s="165"/>
      <c r="J92" s="165"/>
      <c r="K92" s="165"/>
      <c r="L92" s="165"/>
      <c r="M92" s="165"/>
      <c r="N92" s="165"/>
      <c r="O92" s="165"/>
      <c r="P92" s="165"/>
      <c r="Q92" s="165"/>
      <c r="R92" s="165"/>
      <c r="S92" s="165"/>
      <c r="T92" s="165"/>
      <c r="U92" s="165"/>
      <c r="V92" s="165"/>
      <c r="W92" s="165"/>
      <c r="X92" s="165"/>
      <c r="Y92" s="165"/>
      <c r="Z92" s="165"/>
      <c r="AA92" s="165"/>
      <c r="AB92" s="165"/>
      <c r="AC92" s="165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</row>
    <row r="93" spans="1:50" x14ac:dyDescent="0.25">
      <c r="A93" s="165"/>
      <c r="B93" s="165"/>
      <c r="C93" s="165"/>
      <c r="D93" s="165"/>
      <c r="E93" s="165"/>
      <c r="F93" s="314"/>
      <c r="G93" s="165"/>
      <c r="H93" s="165"/>
      <c r="I93" s="165"/>
      <c r="J93" s="165"/>
      <c r="K93" s="165"/>
      <c r="L93" s="165"/>
      <c r="M93" s="165"/>
      <c r="N93" s="165"/>
      <c r="O93" s="165"/>
      <c r="P93" s="165"/>
      <c r="Q93" s="165"/>
      <c r="R93" s="165"/>
      <c r="S93" s="165"/>
      <c r="T93" s="165"/>
      <c r="U93" s="165"/>
      <c r="V93" s="165"/>
      <c r="W93" s="165"/>
      <c r="X93" s="165"/>
      <c r="Y93" s="165"/>
      <c r="Z93" s="165"/>
      <c r="AA93" s="165"/>
      <c r="AB93" s="165"/>
      <c r="AC93" s="165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</row>
    <row r="94" spans="1:50" x14ac:dyDescent="0.25">
      <c r="A94" s="165"/>
      <c r="B94" s="165"/>
      <c r="C94" s="165"/>
      <c r="D94" s="165"/>
      <c r="E94" s="165"/>
      <c r="F94" s="314"/>
      <c r="G94" s="165"/>
      <c r="H94" s="165"/>
      <c r="I94" s="165"/>
      <c r="J94" s="165"/>
      <c r="K94" s="165"/>
      <c r="L94" s="165"/>
      <c r="M94" s="165"/>
      <c r="N94" s="165"/>
      <c r="O94" s="165"/>
      <c r="P94" s="165"/>
      <c r="Q94" s="165"/>
      <c r="R94" s="165"/>
      <c r="S94" s="165"/>
      <c r="T94" s="165"/>
      <c r="U94" s="165"/>
      <c r="V94" s="165"/>
      <c r="W94" s="165"/>
      <c r="X94" s="165"/>
      <c r="Y94" s="165"/>
      <c r="Z94" s="165"/>
      <c r="AA94" s="165"/>
      <c r="AB94" s="165"/>
      <c r="AC94" s="165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</row>
    <row r="95" spans="1:50" x14ac:dyDescent="0.25">
      <c r="A95" s="165"/>
      <c r="B95" s="165"/>
      <c r="C95" s="165"/>
      <c r="D95" s="165"/>
      <c r="E95" s="165"/>
      <c r="F95" s="314"/>
      <c r="G95" s="165"/>
      <c r="H95" s="165"/>
      <c r="I95" s="165"/>
      <c r="J95" s="165"/>
      <c r="K95" s="165"/>
      <c r="L95" s="165"/>
      <c r="M95" s="165"/>
      <c r="N95" s="165"/>
      <c r="O95" s="165"/>
      <c r="P95" s="165"/>
      <c r="Q95" s="165"/>
      <c r="R95" s="165"/>
      <c r="S95" s="165"/>
      <c r="T95" s="165"/>
      <c r="U95" s="165"/>
      <c r="V95" s="165"/>
      <c r="W95" s="165"/>
      <c r="X95" s="165"/>
      <c r="Y95" s="165"/>
      <c r="Z95" s="165"/>
      <c r="AA95" s="165"/>
      <c r="AB95" s="165"/>
      <c r="AC95" s="165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</row>
    <row r="96" spans="1:50" x14ac:dyDescent="0.25">
      <c r="A96" s="165"/>
      <c r="B96" s="165"/>
      <c r="C96" s="165"/>
      <c r="D96" s="165"/>
      <c r="E96" s="165"/>
      <c r="F96" s="314"/>
      <c r="G96" s="165"/>
      <c r="H96" s="165"/>
      <c r="I96" s="165"/>
      <c r="J96" s="165"/>
      <c r="K96" s="165"/>
      <c r="L96" s="165"/>
      <c r="M96" s="165"/>
      <c r="N96" s="165"/>
      <c r="O96" s="165"/>
      <c r="P96" s="165"/>
      <c r="Q96" s="165"/>
      <c r="R96" s="165"/>
      <c r="S96" s="165"/>
      <c r="T96" s="165"/>
      <c r="U96" s="165"/>
      <c r="V96" s="165"/>
      <c r="W96" s="165"/>
      <c r="X96" s="165"/>
      <c r="Y96" s="165"/>
      <c r="Z96" s="165"/>
      <c r="AA96" s="165"/>
      <c r="AB96" s="165"/>
      <c r="AC96" s="165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</row>
    <row r="97" spans="1:50" x14ac:dyDescent="0.25">
      <c r="A97" s="165"/>
      <c r="B97" s="165"/>
      <c r="C97" s="165"/>
      <c r="D97" s="165"/>
      <c r="E97" s="165"/>
      <c r="F97" s="314"/>
      <c r="G97" s="165"/>
      <c r="H97" s="165"/>
      <c r="I97" s="165"/>
      <c r="J97" s="165"/>
      <c r="K97" s="165"/>
      <c r="L97" s="165"/>
      <c r="M97" s="165"/>
      <c r="N97" s="165"/>
      <c r="O97" s="165"/>
      <c r="P97" s="165"/>
      <c r="Q97" s="165"/>
      <c r="R97" s="165"/>
      <c r="S97" s="165"/>
      <c r="T97" s="165"/>
      <c r="U97" s="165"/>
      <c r="V97" s="165"/>
      <c r="W97" s="165"/>
      <c r="X97" s="165"/>
      <c r="Y97" s="165"/>
      <c r="Z97" s="165"/>
      <c r="AA97" s="165"/>
      <c r="AB97" s="165"/>
      <c r="AC97" s="165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</row>
    <row r="98" spans="1:50" x14ac:dyDescent="0.25">
      <c r="A98" s="165"/>
      <c r="B98" s="165"/>
      <c r="C98" s="165"/>
      <c r="D98" s="165"/>
      <c r="E98" s="165"/>
      <c r="F98" s="314"/>
      <c r="G98" s="165"/>
      <c r="H98" s="165"/>
      <c r="I98" s="165"/>
      <c r="J98" s="165"/>
      <c r="K98" s="165"/>
      <c r="L98" s="165"/>
      <c r="M98" s="165"/>
      <c r="N98" s="165"/>
      <c r="O98" s="165"/>
      <c r="P98" s="165"/>
      <c r="Q98" s="165"/>
      <c r="R98" s="165"/>
      <c r="S98" s="165"/>
      <c r="T98" s="165"/>
      <c r="U98" s="165"/>
      <c r="V98" s="165"/>
      <c r="W98" s="165"/>
      <c r="X98" s="165"/>
      <c r="Y98" s="165"/>
      <c r="Z98" s="165"/>
      <c r="AA98" s="165"/>
      <c r="AB98" s="165"/>
      <c r="AC98" s="165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</row>
    <row r="99" spans="1:50" x14ac:dyDescent="0.25">
      <c r="A99" s="165"/>
      <c r="B99" s="165"/>
      <c r="C99" s="165"/>
      <c r="D99" s="165"/>
      <c r="E99" s="165"/>
      <c r="F99" s="314"/>
      <c r="G99" s="165"/>
      <c r="H99" s="165"/>
      <c r="I99" s="165"/>
      <c r="J99" s="165"/>
      <c r="K99" s="165"/>
      <c r="L99" s="165"/>
      <c r="M99" s="165"/>
      <c r="N99" s="165"/>
      <c r="O99" s="165"/>
      <c r="P99" s="165"/>
      <c r="Q99" s="165"/>
      <c r="R99" s="165"/>
      <c r="S99" s="165"/>
      <c r="T99" s="165"/>
      <c r="U99" s="165"/>
      <c r="V99" s="165"/>
      <c r="W99" s="165"/>
      <c r="X99" s="165"/>
      <c r="Y99" s="165"/>
      <c r="Z99" s="165"/>
      <c r="AA99" s="165"/>
      <c r="AB99" s="165"/>
      <c r="AC99" s="165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</row>
    <row r="100" spans="1:50" x14ac:dyDescent="0.25">
      <c r="A100" s="60"/>
      <c r="B100" s="60"/>
      <c r="C100" s="60"/>
      <c r="D100" s="60"/>
      <c r="E100" s="60"/>
      <c r="F100" s="315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</row>
    <row r="101" spans="1:50" x14ac:dyDescent="0.25">
      <c r="A101" s="60"/>
      <c r="B101" s="60"/>
      <c r="C101" s="60"/>
      <c r="D101" s="60"/>
      <c r="E101" s="60"/>
      <c r="F101" s="315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</row>
    <row r="102" spans="1:50" x14ac:dyDescent="0.25">
      <c r="A102" s="60"/>
      <c r="B102" s="60"/>
      <c r="C102" s="60"/>
      <c r="D102" s="60"/>
      <c r="E102" s="60"/>
      <c r="F102" s="315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</row>
    <row r="103" spans="1:50" x14ac:dyDescent="0.25">
      <c r="A103" s="60"/>
      <c r="B103" s="60"/>
      <c r="C103" s="60"/>
      <c r="D103" s="60"/>
      <c r="E103" s="60"/>
      <c r="F103" s="315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</row>
    <row r="104" spans="1:50" x14ac:dyDescent="0.25">
      <c r="A104" s="60"/>
      <c r="B104" s="60"/>
      <c r="C104" s="60"/>
      <c r="D104" s="60"/>
      <c r="E104" s="60"/>
      <c r="F104" s="315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</row>
    <row r="105" spans="1:50" x14ac:dyDescent="0.25">
      <c r="A105" s="60"/>
      <c r="B105" s="60"/>
      <c r="C105" s="60"/>
      <c r="D105" s="60"/>
      <c r="E105" s="60"/>
      <c r="F105" s="315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</row>
    <row r="106" spans="1:50" x14ac:dyDescent="0.25">
      <c r="A106" s="60"/>
      <c r="B106" s="60"/>
      <c r="C106" s="60"/>
      <c r="D106" s="60"/>
      <c r="E106" s="60"/>
      <c r="F106" s="315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</row>
    <row r="107" spans="1:50" x14ac:dyDescent="0.25">
      <c r="A107" s="60"/>
      <c r="B107" s="60"/>
      <c r="C107" s="60"/>
      <c r="D107" s="60"/>
      <c r="E107" s="60"/>
      <c r="F107" s="315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</row>
    <row r="108" spans="1:50" x14ac:dyDescent="0.25">
      <c r="A108" s="60"/>
      <c r="B108" s="60"/>
      <c r="C108" s="60"/>
      <c r="D108" s="60"/>
      <c r="E108" s="60"/>
      <c r="F108" s="315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</row>
    <row r="109" spans="1:50" x14ac:dyDescent="0.25">
      <c r="A109" s="60"/>
      <c r="B109" s="60"/>
      <c r="C109" s="60"/>
      <c r="D109" s="60"/>
      <c r="E109" s="60"/>
      <c r="F109" s="315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</row>
    <row r="110" spans="1:50" x14ac:dyDescent="0.25">
      <c r="A110" s="60"/>
      <c r="B110" s="60"/>
      <c r="C110" s="60"/>
      <c r="D110" s="60"/>
      <c r="E110" s="60"/>
      <c r="F110" s="315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</row>
    <row r="111" spans="1:50" x14ac:dyDescent="0.25">
      <c r="A111" s="60"/>
      <c r="B111" s="60"/>
      <c r="C111" s="60"/>
      <c r="D111" s="60"/>
      <c r="E111" s="60"/>
      <c r="F111" s="315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</row>
    <row r="112" spans="1:50" x14ac:dyDescent="0.25">
      <c r="A112" s="60"/>
      <c r="B112" s="60">
        <v>17</v>
      </c>
      <c r="C112" s="60"/>
      <c r="D112" s="60"/>
      <c r="E112" s="60"/>
      <c r="F112" s="315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</row>
    <row r="113" spans="1:29" x14ac:dyDescent="0.25">
      <c r="A113" s="60"/>
      <c r="B113" s="60"/>
      <c r="C113" s="60"/>
      <c r="D113" s="60"/>
      <c r="E113" s="60"/>
      <c r="F113" s="315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</row>
    <row r="114" spans="1:29" x14ac:dyDescent="0.25">
      <c r="A114" s="60"/>
      <c r="B114" s="60"/>
      <c r="C114" s="60"/>
      <c r="D114" s="60"/>
      <c r="E114" s="60"/>
      <c r="F114" s="315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</row>
    <row r="115" spans="1:29" x14ac:dyDescent="0.25">
      <c r="A115" s="60"/>
      <c r="B115" s="60"/>
      <c r="C115" s="60"/>
      <c r="D115" s="60"/>
      <c r="E115" s="60"/>
      <c r="F115" s="315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</row>
    <row r="116" spans="1:29" x14ac:dyDescent="0.25">
      <c r="A116" s="60"/>
      <c r="B116" s="60"/>
      <c r="C116" s="60"/>
      <c r="D116" s="60"/>
      <c r="E116" s="60"/>
      <c r="F116" s="315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</row>
    <row r="117" spans="1:29" x14ac:dyDescent="0.25">
      <c r="A117" s="60"/>
      <c r="B117" s="60"/>
      <c r="C117" s="60"/>
      <c r="D117" s="60"/>
      <c r="E117" s="60"/>
      <c r="F117" s="315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</row>
    <row r="118" spans="1:29" x14ac:dyDescent="0.25">
      <c r="A118" s="60"/>
      <c r="B118" s="60"/>
      <c r="C118" s="60"/>
      <c r="D118" s="60"/>
      <c r="E118" s="60"/>
      <c r="F118" s="315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</row>
    <row r="119" spans="1:29" x14ac:dyDescent="0.25">
      <c r="A119" s="60"/>
      <c r="B119" s="60"/>
      <c r="C119" s="60"/>
      <c r="D119" s="60"/>
      <c r="E119" s="60"/>
      <c r="F119" s="315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</row>
    <row r="120" spans="1:29" x14ac:dyDescent="0.25">
      <c r="A120" s="60"/>
      <c r="B120" s="60"/>
      <c r="C120" s="60"/>
      <c r="D120" s="60"/>
      <c r="E120" s="60"/>
      <c r="F120" s="315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</row>
    <row r="121" spans="1:29" x14ac:dyDescent="0.25">
      <c r="A121" s="60"/>
      <c r="B121" s="60"/>
      <c r="C121" s="60"/>
      <c r="D121" s="60"/>
      <c r="E121" s="60"/>
      <c r="F121" s="315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</row>
    <row r="122" spans="1:29" x14ac:dyDescent="0.25">
      <c r="A122" s="60"/>
      <c r="B122" s="60"/>
      <c r="C122" s="60"/>
      <c r="D122" s="60"/>
      <c r="E122" s="60"/>
      <c r="F122" s="315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</row>
    <row r="123" spans="1:29" x14ac:dyDescent="0.25">
      <c r="A123" s="60"/>
      <c r="B123" s="60"/>
      <c r="C123" s="60"/>
      <c r="D123" s="60"/>
      <c r="E123" s="60"/>
      <c r="F123" s="315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</row>
    <row r="124" spans="1:29" x14ac:dyDescent="0.25">
      <c r="A124" s="60"/>
      <c r="B124" s="60"/>
      <c r="C124" s="60"/>
      <c r="D124" s="60"/>
      <c r="E124" s="60"/>
      <c r="F124" s="315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</row>
    <row r="125" spans="1:29" x14ac:dyDescent="0.25">
      <c r="A125" s="60"/>
      <c r="B125" s="60"/>
      <c r="C125" s="60"/>
      <c r="D125" s="60"/>
      <c r="E125" s="60"/>
      <c r="F125" s="315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</row>
    <row r="126" spans="1:29" x14ac:dyDescent="0.25">
      <c r="A126" s="60"/>
      <c r="B126" s="60"/>
      <c r="C126" s="60"/>
      <c r="D126" s="60"/>
      <c r="E126" s="60"/>
      <c r="F126" s="315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</row>
    <row r="127" spans="1:29" x14ac:dyDescent="0.25">
      <c r="A127" s="60"/>
      <c r="B127" s="60"/>
      <c r="C127" s="60"/>
      <c r="D127" s="60"/>
      <c r="E127" s="60"/>
      <c r="F127" s="315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</row>
    <row r="128" spans="1:29" x14ac:dyDescent="0.25">
      <c r="A128" s="60"/>
      <c r="B128" s="60"/>
      <c r="C128" s="60"/>
      <c r="D128" s="60"/>
      <c r="E128" s="60"/>
      <c r="F128" s="315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</row>
    <row r="129" spans="1:29" x14ac:dyDescent="0.25">
      <c r="A129" s="60"/>
      <c r="B129" s="60"/>
      <c r="C129" s="60"/>
      <c r="D129" s="60"/>
      <c r="E129" s="60"/>
      <c r="F129" s="315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</row>
    <row r="130" spans="1:29" x14ac:dyDescent="0.25">
      <c r="A130" s="60"/>
      <c r="B130" s="60"/>
      <c r="C130" s="60"/>
      <c r="D130" s="60"/>
      <c r="E130" s="60"/>
      <c r="F130" s="315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</row>
    <row r="131" spans="1:29" x14ac:dyDescent="0.25">
      <c r="A131" s="60"/>
      <c r="B131" s="60"/>
      <c r="C131" s="60"/>
      <c r="D131" s="60"/>
      <c r="E131" s="60"/>
      <c r="F131" s="315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</row>
    <row r="132" spans="1:29" x14ac:dyDescent="0.25">
      <c r="A132" s="60"/>
      <c r="B132" s="60"/>
      <c r="C132" s="60"/>
      <c r="D132" s="60"/>
      <c r="E132" s="60"/>
      <c r="F132" s="315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</row>
    <row r="133" spans="1:29" x14ac:dyDescent="0.25">
      <c r="A133" s="60"/>
      <c r="B133" s="60"/>
      <c r="C133" s="60"/>
      <c r="D133" s="60"/>
      <c r="E133" s="60"/>
      <c r="F133" s="315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</row>
    <row r="134" spans="1:29" x14ac:dyDescent="0.25">
      <c r="A134" s="60"/>
      <c r="B134" s="60"/>
      <c r="C134" s="60"/>
      <c r="D134" s="60"/>
      <c r="E134" s="60"/>
      <c r="F134" s="315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</row>
    <row r="135" spans="1:29" x14ac:dyDescent="0.25">
      <c r="A135" s="60"/>
      <c r="B135" s="60"/>
      <c r="C135" s="60"/>
      <c r="D135" s="60"/>
      <c r="E135" s="60"/>
      <c r="F135" s="315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</row>
    <row r="136" spans="1:29" x14ac:dyDescent="0.25">
      <c r="A136" s="60"/>
      <c r="B136" s="60"/>
      <c r="C136" s="60"/>
      <c r="D136" s="60"/>
      <c r="E136" s="60"/>
      <c r="F136" s="315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</row>
    <row r="137" spans="1:29" x14ac:dyDescent="0.25">
      <c r="A137" s="60"/>
      <c r="B137" s="60"/>
      <c r="C137" s="60"/>
      <c r="D137" s="60"/>
      <c r="E137" s="60"/>
      <c r="F137" s="315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</row>
    <row r="138" spans="1:29" x14ac:dyDescent="0.25">
      <c r="A138" s="60"/>
      <c r="B138" s="60"/>
      <c r="C138" s="60"/>
      <c r="D138" s="60"/>
      <c r="E138" s="60"/>
      <c r="F138" s="315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</row>
    <row r="139" spans="1:29" x14ac:dyDescent="0.25">
      <c r="A139" s="60"/>
      <c r="B139" s="60"/>
      <c r="C139" s="60"/>
      <c r="D139" s="60"/>
      <c r="E139" s="60"/>
      <c r="F139" s="315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</row>
    <row r="140" spans="1:29" x14ac:dyDescent="0.25">
      <c r="A140" s="60"/>
      <c r="B140" s="60"/>
      <c r="C140" s="60"/>
      <c r="D140" s="60"/>
      <c r="E140" s="60"/>
      <c r="F140" s="315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</row>
    <row r="141" spans="1:29" x14ac:dyDescent="0.25">
      <c r="A141" s="60"/>
      <c r="B141" s="60"/>
      <c r="C141" s="60"/>
      <c r="D141" s="60"/>
      <c r="E141" s="60"/>
      <c r="F141" s="315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</row>
    <row r="142" spans="1:29" x14ac:dyDescent="0.25">
      <c r="A142" s="60"/>
      <c r="B142" s="60"/>
      <c r="C142" s="60"/>
      <c r="D142" s="60"/>
      <c r="E142" s="60"/>
      <c r="F142" s="315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</row>
    <row r="143" spans="1:29" x14ac:dyDescent="0.25">
      <c r="A143" s="60"/>
      <c r="B143" s="60"/>
      <c r="C143" s="60"/>
      <c r="D143" s="60"/>
      <c r="E143" s="60"/>
      <c r="F143" s="315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</row>
    <row r="144" spans="1:29" x14ac:dyDescent="0.25">
      <c r="A144" s="60"/>
      <c r="B144" s="60"/>
      <c r="C144" s="60"/>
      <c r="D144" s="60"/>
      <c r="E144" s="60"/>
      <c r="F144" s="315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</row>
    <row r="145" spans="1:29" x14ac:dyDescent="0.25">
      <c r="A145" s="60"/>
      <c r="B145" s="60"/>
      <c r="C145" s="60"/>
      <c r="D145" s="60"/>
      <c r="E145" s="60"/>
      <c r="F145" s="315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</row>
    <row r="146" spans="1:29" x14ac:dyDescent="0.25">
      <c r="A146" s="60"/>
      <c r="B146" s="60"/>
      <c r="C146" s="60"/>
      <c r="D146" s="60"/>
      <c r="E146" s="60"/>
      <c r="F146" s="315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</row>
    <row r="147" spans="1:29" x14ac:dyDescent="0.25">
      <c r="A147" s="60"/>
      <c r="B147" s="60"/>
      <c r="C147" s="60"/>
      <c r="D147" s="60"/>
      <c r="E147" s="60"/>
      <c r="F147" s="315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</row>
    <row r="148" spans="1:29" x14ac:dyDescent="0.25">
      <c r="A148" s="60"/>
      <c r="B148" s="60"/>
      <c r="C148" s="60"/>
      <c r="D148" s="60"/>
      <c r="E148" s="60"/>
      <c r="F148" s="315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</row>
    <row r="149" spans="1:29" x14ac:dyDescent="0.25">
      <c r="A149" s="60"/>
      <c r="B149" s="60"/>
      <c r="C149" s="60"/>
      <c r="D149" s="60"/>
      <c r="E149" s="60"/>
      <c r="F149" s="315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</row>
    <row r="150" spans="1:29" x14ac:dyDescent="0.25">
      <c r="A150" s="60"/>
      <c r="B150" s="60"/>
      <c r="C150" s="60"/>
      <c r="D150" s="60"/>
      <c r="E150" s="60"/>
      <c r="F150" s="315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</row>
    <row r="151" spans="1:29" x14ac:dyDescent="0.25">
      <c r="A151" s="60"/>
      <c r="B151" s="60"/>
      <c r="C151" s="60"/>
      <c r="D151" s="60"/>
      <c r="E151" s="60"/>
      <c r="F151" s="315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</row>
    <row r="152" spans="1:29" x14ac:dyDescent="0.25">
      <c r="A152" s="60"/>
      <c r="B152" s="60"/>
      <c r="C152" s="60"/>
      <c r="D152" s="60"/>
      <c r="E152" s="60"/>
      <c r="F152" s="315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</row>
    <row r="153" spans="1:29" x14ac:dyDescent="0.25">
      <c r="A153" s="60"/>
      <c r="B153" s="60"/>
      <c r="C153" s="60"/>
      <c r="D153" s="60"/>
      <c r="E153" s="60"/>
      <c r="F153" s="315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</row>
    <row r="154" spans="1:29" x14ac:dyDescent="0.25">
      <c r="A154" s="60"/>
      <c r="B154" s="60"/>
      <c r="C154" s="60"/>
      <c r="D154" s="60"/>
      <c r="E154" s="60"/>
      <c r="F154" s="315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</row>
    <row r="155" spans="1:29" x14ac:dyDescent="0.25">
      <c r="A155" s="60"/>
      <c r="B155" s="60"/>
      <c r="C155" s="60"/>
      <c r="D155" s="60"/>
      <c r="E155" s="60"/>
      <c r="F155" s="315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</row>
    <row r="156" spans="1:29" x14ac:dyDescent="0.25">
      <c r="A156" s="60"/>
      <c r="B156" s="60"/>
      <c r="C156" s="60"/>
      <c r="D156" s="60"/>
      <c r="E156" s="60"/>
      <c r="F156" s="315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</row>
    <row r="157" spans="1:29" x14ac:dyDescent="0.25">
      <c r="A157" s="60"/>
      <c r="B157" s="60"/>
      <c r="C157" s="60"/>
      <c r="D157" s="60"/>
      <c r="E157" s="60"/>
      <c r="F157" s="315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</row>
    <row r="158" spans="1:29" x14ac:dyDescent="0.25">
      <c r="A158" s="60"/>
      <c r="B158" s="60"/>
      <c r="C158" s="60"/>
      <c r="D158" s="60"/>
      <c r="E158" s="60"/>
      <c r="F158" s="315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</row>
    <row r="159" spans="1:29" x14ac:dyDescent="0.25">
      <c r="A159" s="60"/>
      <c r="B159" s="60"/>
      <c r="C159" s="60"/>
      <c r="D159" s="60"/>
      <c r="E159" s="60"/>
      <c r="F159" s="315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</row>
    <row r="160" spans="1:29" x14ac:dyDescent="0.25">
      <c r="A160" s="60"/>
      <c r="B160" s="60"/>
      <c r="C160" s="60"/>
      <c r="D160" s="60"/>
      <c r="E160" s="60"/>
      <c r="F160" s="315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</row>
    <row r="161" spans="1:29" x14ac:dyDescent="0.25">
      <c r="A161" s="60"/>
      <c r="B161" s="60"/>
      <c r="C161" s="60"/>
      <c r="D161" s="60"/>
      <c r="E161" s="60"/>
      <c r="F161" s="315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</row>
    <row r="162" spans="1:29" x14ac:dyDescent="0.25">
      <c r="A162" s="60"/>
      <c r="B162" s="60"/>
      <c r="C162" s="60"/>
      <c r="D162" s="60"/>
      <c r="E162" s="60"/>
      <c r="F162" s="315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</row>
    <row r="163" spans="1:29" x14ac:dyDescent="0.25">
      <c r="A163" s="60"/>
      <c r="B163" s="60"/>
      <c r="C163" s="60"/>
      <c r="D163" s="60"/>
      <c r="E163" s="60"/>
      <c r="F163" s="315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</row>
    <row r="164" spans="1:29" x14ac:dyDescent="0.25">
      <c r="A164" s="60"/>
      <c r="B164" s="60"/>
      <c r="C164" s="60"/>
      <c r="D164" s="60"/>
      <c r="E164" s="60"/>
      <c r="F164" s="315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</row>
    <row r="165" spans="1:29" x14ac:dyDescent="0.25">
      <c r="A165" s="60"/>
      <c r="B165" s="60"/>
      <c r="C165" s="60"/>
      <c r="D165" s="60"/>
      <c r="E165" s="60"/>
      <c r="F165" s="315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</row>
    <row r="166" spans="1:29" x14ac:dyDescent="0.25">
      <c r="A166" s="60"/>
      <c r="B166" s="60"/>
      <c r="C166" s="60"/>
      <c r="D166" s="60"/>
      <c r="E166" s="60"/>
      <c r="F166" s="315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</row>
    <row r="167" spans="1:29" x14ac:dyDescent="0.25">
      <c r="A167" s="60"/>
      <c r="B167" s="60"/>
      <c r="C167" s="60"/>
      <c r="D167" s="60"/>
      <c r="E167" s="60"/>
      <c r="F167" s="315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</row>
    <row r="168" spans="1:29" x14ac:dyDescent="0.25">
      <c r="A168" s="60"/>
      <c r="B168" s="60"/>
      <c r="C168" s="60"/>
      <c r="D168" s="60"/>
      <c r="E168" s="60"/>
      <c r="F168" s="315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</row>
    <row r="169" spans="1:29" x14ac:dyDescent="0.25">
      <c r="A169" s="60"/>
      <c r="B169" s="60"/>
      <c r="C169" s="60"/>
      <c r="D169" s="60"/>
      <c r="E169" s="60"/>
      <c r="F169" s="315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</row>
    <row r="170" spans="1:29" x14ac:dyDescent="0.25">
      <c r="A170" s="60"/>
      <c r="B170" s="60"/>
      <c r="C170" s="60"/>
      <c r="D170" s="60"/>
      <c r="E170" s="60"/>
      <c r="F170" s="315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</row>
    <row r="171" spans="1:29" x14ac:dyDescent="0.25">
      <c r="A171" s="60"/>
      <c r="B171" s="60"/>
      <c r="C171" s="60"/>
      <c r="D171" s="60"/>
      <c r="E171" s="60"/>
      <c r="F171" s="315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</row>
    <row r="172" spans="1:29" x14ac:dyDescent="0.25">
      <c r="A172" s="60"/>
      <c r="B172" s="60"/>
      <c r="C172" s="60"/>
      <c r="D172" s="60"/>
      <c r="E172" s="60"/>
      <c r="F172" s="315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  <c r="AB172" s="60"/>
      <c r="AC172" s="60"/>
    </row>
    <row r="173" spans="1:29" x14ac:dyDescent="0.25">
      <c r="A173" s="60"/>
      <c r="B173" s="60"/>
      <c r="C173" s="60"/>
      <c r="D173" s="60"/>
      <c r="E173" s="60"/>
      <c r="F173" s="315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</row>
    <row r="174" spans="1:29" x14ac:dyDescent="0.25">
      <c r="A174" s="60"/>
      <c r="B174" s="60"/>
      <c r="C174" s="60"/>
      <c r="D174" s="60"/>
      <c r="E174" s="60"/>
      <c r="F174" s="315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</row>
    <row r="175" spans="1:29" x14ac:dyDescent="0.25">
      <c r="A175" s="60"/>
      <c r="B175" s="60"/>
      <c r="C175" s="60"/>
      <c r="D175" s="60"/>
      <c r="E175" s="60"/>
      <c r="F175" s="315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</row>
    <row r="176" spans="1:29" x14ac:dyDescent="0.25">
      <c r="A176" s="60"/>
      <c r="B176" s="60"/>
      <c r="C176" s="60"/>
      <c r="D176" s="60"/>
      <c r="E176" s="60"/>
      <c r="F176" s="315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</row>
    <row r="177" spans="1:29" x14ac:dyDescent="0.25">
      <c r="A177" s="60"/>
      <c r="B177" s="60"/>
      <c r="C177" s="60"/>
      <c r="D177" s="60"/>
      <c r="E177" s="60"/>
      <c r="F177" s="315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</row>
    <row r="178" spans="1:29" x14ac:dyDescent="0.25">
      <c r="A178" s="60"/>
      <c r="B178" s="60"/>
      <c r="C178" s="60"/>
      <c r="D178" s="60"/>
      <c r="E178" s="60"/>
      <c r="F178" s="315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</row>
    <row r="179" spans="1:29" x14ac:dyDescent="0.25">
      <c r="A179" s="60"/>
      <c r="B179" s="60"/>
      <c r="C179" s="60"/>
      <c r="D179" s="60"/>
      <c r="E179" s="60"/>
      <c r="F179" s="315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</row>
    <row r="180" spans="1:29" x14ac:dyDescent="0.25">
      <c r="A180" s="60"/>
      <c r="B180" s="60"/>
      <c r="C180" s="60"/>
      <c r="D180" s="60"/>
      <c r="E180" s="60"/>
      <c r="F180" s="315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</row>
    <row r="181" spans="1:29" x14ac:dyDescent="0.25">
      <c r="A181" s="60"/>
      <c r="B181" s="60"/>
      <c r="C181" s="60"/>
      <c r="D181" s="60"/>
      <c r="E181" s="60"/>
      <c r="F181" s="315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</row>
    <row r="182" spans="1:29" x14ac:dyDescent="0.25">
      <c r="A182" s="60"/>
      <c r="B182" s="60"/>
      <c r="C182" s="60"/>
      <c r="D182" s="60"/>
      <c r="E182" s="60"/>
      <c r="F182" s="315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  <c r="AB182" s="60"/>
      <c r="AC182" s="60"/>
    </row>
    <row r="183" spans="1:29" x14ac:dyDescent="0.25">
      <c r="A183" s="60"/>
      <c r="B183" s="60"/>
      <c r="C183" s="60"/>
      <c r="D183" s="60"/>
      <c r="E183" s="60"/>
      <c r="F183" s="315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</row>
    <row r="184" spans="1:29" x14ac:dyDescent="0.25">
      <c r="A184" s="60"/>
      <c r="B184" s="60"/>
      <c r="C184" s="60"/>
      <c r="D184" s="60"/>
      <c r="E184" s="60"/>
      <c r="F184" s="315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  <c r="AA184" s="60"/>
      <c r="AB184" s="60"/>
      <c r="AC184" s="60"/>
    </row>
    <row r="185" spans="1:29" x14ac:dyDescent="0.25">
      <c r="A185" s="60"/>
      <c r="B185" s="60"/>
      <c r="C185" s="60"/>
      <c r="D185" s="60"/>
      <c r="E185" s="60"/>
      <c r="F185" s="315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  <c r="AB185" s="60"/>
      <c r="AC185" s="60"/>
    </row>
    <row r="186" spans="1:29" x14ac:dyDescent="0.25">
      <c r="A186" s="60"/>
      <c r="B186" s="60"/>
      <c r="C186" s="60"/>
      <c r="D186" s="60"/>
      <c r="E186" s="60"/>
      <c r="F186" s="315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  <c r="AA186" s="60"/>
      <c r="AB186" s="60"/>
      <c r="AC186" s="60"/>
    </row>
    <row r="187" spans="1:29" x14ac:dyDescent="0.25">
      <c r="A187" s="60"/>
      <c r="B187" s="60"/>
      <c r="C187" s="60"/>
      <c r="D187" s="60"/>
      <c r="E187" s="60"/>
      <c r="F187" s="315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  <c r="AA187" s="60"/>
      <c r="AB187" s="60"/>
      <c r="AC187" s="60"/>
    </row>
    <row r="188" spans="1:29" x14ac:dyDescent="0.25">
      <c r="A188" s="60"/>
      <c r="B188" s="60"/>
      <c r="C188" s="60"/>
      <c r="D188" s="60"/>
      <c r="E188" s="60"/>
      <c r="F188" s="315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  <c r="AA188" s="60"/>
      <c r="AB188" s="60"/>
      <c r="AC188" s="60"/>
    </row>
    <row r="189" spans="1:29" x14ac:dyDescent="0.25">
      <c r="A189" s="60"/>
      <c r="B189" s="60"/>
      <c r="C189" s="60"/>
      <c r="D189" s="60"/>
      <c r="E189" s="60"/>
      <c r="F189" s="315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</row>
    <row r="190" spans="1:29" x14ac:dyDescent="0.25">
      <c r="A190" s="60"/>
      <c r="B190" s="60"/>
      <c r="C190" s="60"/>
      <c r="D190" s="60"/>
      <c r="E190" s="60"/>
      <c r="F190" s="315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</row>
    <row r="191" spans="1:29" x14ac:dyDescent="0.25">
      <c r="A191" s="60"/>
      <c r="B191" s="60"/>
      <c r="C191" s="60"/>
      <c r="D191" s="60"/>
      <c r="E191" s="60"/>
      <c r="F191" s="315"/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  <c r="AA191" s="60"/>
      <c r="AB191" s="60"/>
      <c r="AC191" s="60"/>
    </row>
    <row r="192" spans="1:29" x14ac:dyDescent="0.25">
      <c r="A192" s="60"/>
      <c r="B192" s="60"/>
      <c r="C192" s="60"/>
      <c r="D192" s="60"/>
      <c r="E192" s="60"/>
      <c r="F192" s="315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  <c r="AA192" s="60"/>
      <c r="AB192" s="60"/>
      <c r="AC192" s="60"/>
    </row>
    <row r="193" spans="1:29" x14ac:dyDescent="0.25">
      <c r="A193" s="60"/>
      <c r="B193" s="60"/>
      <c r="C193" s="60"/>
      <c r="D193" s="60"/>
      <c r="E193" s="60"/>
      <c r="F193" s="315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  <c r="AB193" s="60"/>
      <c r="AC193" s="60"/>
    </row>
    <row r="194" spans="1:29" x14ac:dyDescent="0.25">
      <c r="A194" s="60"/>
      <c r="B194" s="60"/>
      <c r="C194" s="60"/>
      <c r="D194" s="60"/>
      <c r="E194" s="60"/>
      <c r="F194" s="315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  <c r="AA194" s="60"/>
      <c r="AB194" s="60"/>
      <c r="AC194" s="60"/>
    </row>
    <row r="195" spans="1:29" x14ac:dyDescent="0.25">
      <c r="A195" s="60"/>
      <c r="B195" s="60"/>
      <c r="C195" s="60"/>
      <c r="D195" s="60"/>
      <c r="E195" s="60"/>
      <c r="F195" s="315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</row>
    <row r="196" spans="1:29" x14ac:dyDescent="0.25">
      <c r="A196" s="60"/>
      <c r="B196" s="60"/>
      <c r="C196" s="60"/>
      <c r="D196" s="60"/>
      <c r="E196" s="60"/>
      <c r="F196" s="315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  <c r="AA196" s="60"/>
      <c r="AB196" s="60"/>
      <c r="AC196" s="60"/>
    </row>
    <row r="197" spans="1:29" x14ac:dyDescent="0.25">
      <c r="A197" s="60"/>
      <c r="B197" s="60"/>
      <c r="C197" s="60"/>
      <c r="D197" s="60"/>
      <c r="E197" s="60"/>
      <c r="F197" s="315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  <c r="AA197" s="60"/>
      <c r="AB197" s="60"/>
      <c r="AC197" s="60"/>
    </row>
    <row r="198" spans="1:29" x14ac:dyDescent="0.25">
      <c r="A198" s="60"/>
      <c r="B198" s="60"/>
      <c r="C198" s="60"/>
      <c r="D198" s="60"/>
      <c r="E198" s="60"/>
      <c r="F198" s="315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  <c r="AA198" s="60"/>
      <c r="AB198" s="60"/>
      <c r="AC198" s="60"/>
    </row>
    <row r="199" spans="1:29" x14ac:dyDescent="0.25">
      <c r="A199" s="60"/>
      <c r="B199" s="60"/>
      <c r="C199" s="60"/>
      <c r="D199" s="60"/>
      <c r="E199" s="60"/>
      <c r="F199" s="315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  <c r="AA199" s="60"/>
      <c r="AB199" s="60"/>
      <c r="AC199" s="60"/>
    </row>
    <row r="200" spans="1:29" x14ac:dyDescent="0.25">
      <c r="A200" s="60"/>
      <c r="B200" s="60"/>
      <c r="C200" s="60"/>
      <c r="D200" s="60"/>
      <c r="E200" s="60"/>
      <c r="F200" s="315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  <c r="AA200" s="60"/>
      <c r="AB200" s="60"/>
      <c r="AC200" s="60"/>
    </row>
    <row r="201" spans="1:29" x14ac:dyDescent="0.25">
      <c r="A201" s="60"/>
      <c r="B201" s="60"/>
      <c r="C201" s="60"/>
      <c r="D201" s="60"/>
      <c r="E201" s="60"/>
      <c r="F201" s="315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</row>
    <row r="202" spans="1:29" x14ac:dyDescent="0.25">
      <c r="A202" s="60"/>
      <c r="B202" s="60"/>
      <c r="C202" s="60"/>
      <c r="D202" s="60"/>
      <c r="E202" s="60"/>
      <c r="F202" s="315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A202" s="60"/>
      <c r="AB202" s="60"/>
      <c r="AC202" s="60"/>
    </row>
    <row r="203" spans="1:29" x14ac:dyDescent="0.25">
      <c r="A203" s="60"/>
      <c r="B203" s="60"/>
      <c r="C203" s="60"/>
      <c r="D203" s="60"/>
      <c r="E203" s="60"/>
      <c r="F203" s="315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  <c r="AA203" s="60"/>
      <c r="AB203" s="60"/>
      <c r="AC203" s="60"/>
    </row>
    <row r="204" spans="1:29" x14ac:dyDescent="0.25">
      <c r="A204" s="60"/>
      <c r="B204" s="60"/>
      <c r="C204" s="60"/>
      <c r="D204" s="60"/>
      <c r="E204" s="60"/>
      <c r="F204" s="315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  <c r="AA204" s="60"/>
      <c r="AB204" s="60"/>
      <c r="AC204" s="60"/>
    </row>
    <row r="205" spans="1:29" x14ac:dyDescent="0.25">
      <c r="A205" s="60"/>
      <c r="B205" s="60"/>
      <c r="C205" s="60"/>
      <c r="D205" s="60"/>
      <c r="E205" s="60"/>
      <c r="F205" s="315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  <c r="AA205" s="60"/>
      <c r="AB205" s="60"/>
      <c r="AC205" s="60"/>
    </row>
    <row r="206" spans="1:29" x14ac:dyDescent="0.25">
      <c r="A206" s="60"/>
      <c r="B206" s="60"/>
      <c r="C206" s="60"/>
      <c r="D206" s="60"/>
      <c r="E206" s="60"/>
      <c r="F206" s="315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  <c r="AA206" s="60"/>
      <c r="AB206" s="60"/>
      <c r="AC206" s="60"/>
    </row>
    <row r="207" spans="1:29" x14ac:dyDescent="0.25">
      <c r="A207" s="60"/>
      <c r="B207" s="60"/>
      <c r="C207" s="60"/>
      <c r="D207" s="60"/>
      <c r="E207" s="60"/>
      <c r="F207" s="315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  <c r="AA207" s="60"/>
      <c r="AB207" s="60"/>
      <c r="AC207" s="60"/>
    </row>
    <row r="208" spans="1:29" x14ac:dyDescent="0.25">
      <c r="A208" s="60"/>
      <c r="B208" s="60"/>
      <c r="C208" s="60"/>
      <c r="D208" s="60"/>
      <c r="E208" s="60"/>
      <c r="F208" s="315"/>
      <c r="G208" s="60"/>
      <c r="H208" s="60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  <c r="AA208" s="60"/>
      <c r="AB208" s="60"/>
      <c r="AC208" s="60"/>
    </row>
    <row r="209" spans="1:29" x14ac:dyDescent="0.25">
      <c r="A209" s="60"/>
      <c r="B209" s="60"/>
      <c r="C209" s="60"/>
      <c r="D209" s="60"/>
      <c r="E209" s="60"/>
      <c r="F209" s="315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</row>
    <row r="210" spans="1:29" x14ac:dyDescent="0.25">
      <c r="A210" s="60"/>
      <c r="B210" s="60"/>
      <c r="C210" s="60"/>
      <c r="D210" s="60"/>
      <c r="E210" s="60"/>
      <c r="F210" s="315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  <c r="AA210" s="60"/>
      <c r="AB210" s="60"/>
      <c r="AC210" s="60"/>
    </row>
    <row r="211" spans="1:29" x14ac:dyDescent="0.25">
      <c r="A211" s="60"/>
      <c r="B211" s="60"/>
      <c r="C211" s="60"/>
      <c r="D211" s="60"/>
      <c r="E211" s="60"/>
      <c r="F211" s="315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</row>
  </sheetData>
  <dataConsolidate/>
  <mergeCells count="1">
    <mergeCell ref="C51:AC52"/>
  </mergeCells>
  <conditionalFormatting sqref="C50:E50 G50:AC50 B53:AC53">
    <cfRule type="cellIs" dxfId="5" priority="5" stopIfTrue="1" operator="equal">
      <formula>"Nie dodano Faktora"</formula>
    </cfRule>
    <cfRule type="cellIs" dxfId="4" priority="6" stopIfTrue="1" operator="equal">
      <formula>"OK"</formula>
    </cfRule>
  </conditionalFormatting>
  <conditionalFormatting sqref="A54">
    <cfRule type="expression" dxfId="3" priority="7" stopIfTrue="1">
      <formula>"""$A$53=""OK"""</formula>
    </cfRule>
    <cfRule type="expression" dxfId="2" priority="8" stopIfTrue="1">
      <formula>"""$A$53=""O+$C$53K"""</formula>
    </cfRule>
  </conditionalFormatting>
  <conditionalFormatting sqref="F50">
    <cfRule type="cellIs" dxfId="1" priority="1" stopIfTrue="1" operator="equal">
      <formula>"Nie dodano Faktora"</formula>
    </cfRule>
    <cfRule type="cellIs" dxfId="0" priority="2" stopIfTrue="1" operator="equal">
      <formula>"OK"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14" r:id="rId4" name="CommandButton1">
          <controlPr defaultSize="0" autoLine="0" autoPict="0" r:id="rId5">
            <anchor moveWithCells="1">
              <from>
                <xdr:col>13</xdr:col>
                <xdr:colOff>9525</xdr:colOff>
                <xdr:row>41</xdr:row>
                <xdr:rowOff>180975</xdr:rowOff>
              </from>
              <to>
                <xdr:col>16</xdr:col>
                <xdr:colOff>219075</xdr:colOff>
                <xdr:row>43</xdr:row>
                <xdr:rowOff>190500</xdr:rowOff>
              </to>
            </anchor>
          </controlPr>
        </control>
      </mc:Choice>
      <mc:Fallback>
        <control shapeId="2114" r:id="rId4" name="CommandButton1"/>
      </mc:Fallback>
    </mc:AlternateContent>
    <mc:AlternateContent xmlns:mc="http://schemas.openxmlformats.org/markup-compatibility/2006">
      <mc:Choice Requires="x14">
        <control shapeId="2088" r:id="rId6" name="SpinButton24">
          <controlPr autoLine="0" r:id="rId7">
            <anchor moveWithCells="1">
              <from>
                <xdr:col>28</xdr:col>
                <xdr:colOff>85725</xdr:colOff>
                <xdr:row>50</xdr:row>
                <xdr:rowOff>19050</xdr:rowOff>
              </from>
              <to>
                <xdr:col>28</xdr:col>
                <xdr:colOff>381000</xdr:colOff>
                <xdr:row>51</xdr:row>
                <xdr:rowOff>171450</xdr:rowOff>
              </to>
            </anchor>
          </controlPr>
        </control>
      </mc:Choice>
      <mc:Fallback>
        <control shapeId="2088" r:id="rId6" name="SpinButton24"/>
      </mc:Fallback>
    </mc:AlternateContent>
    <mc:AlternateContent xmlns:mc="http://schemas.openxmlformats.org/markup-compatibility/2006">
      <mc:Choice Requires="x14">
        <control shapeId="2087" r:id="rId8" name="SpinButton23">
          <controlPr autoLine="0" r:id="rId7">
            <anchor moveWithCells="1">
              <from>
                <xdr:col>27</xdr:col>
                <xdr:colOff>76200</xdr:colOff>
                <xdr:row>50</xdr:row>
                <xdr:rowOff>19050</xdr:rowOff>
              </from>
              <to>
                <xdr:col>27</xdr:col>
                <xdr:colOff>371475</xdr:colOff>
                <xdr:row>51</xdr:row>
                <xdr:rowOff>171450</xdr:rowOff>
              </to>
            </anchor>
          </controlPr>
        </control>
      </mc:Choice>
      <mc:Fallback>
        <control shapeId="2087" r:id="rId8" name="SpinButton23"/>
      </mc:Fallback>
    </mc:AlternateContent>
    <mc:AlternateContent xmlns:mc="http://schemas.openxmlformats.org/markup-compatibility/2006">
      <mc:Choice Requires="x14">
        <control shapeId="2086" r:id="rId9" name="SpinButton22">
          <controlPr autoLine="0" r:id="rId7">
            <anchor moveWithCells="1">
              <from>
                <xdr:col>26</xdr:col>
                <xdr:colOff>85725</xdr:colOff>
                <xdr:row>50</xdr:row>
                <xdr:rowOff>19050</xdr:rowOff>
              </from>
              <to>
                <xdr:col>26</xdr:col>
                <xdr:colOff>381000</xdr:colOff>
                <xdr:row>51</xdr:row>
                <xdr:rowOff>171450</xdr:rowOff>
              </to>
            </anchor>
          </controlPr>
        </control>
      </mc:Choice>
      <mc:Fallback>
        <control shapeId="2086" r:id="rId9" name="SpinButton22"/>
      </mc:Fallback>
    </mc:AlternateContent>
    <mc:AlternateContent xmlns:mc="http://schemas.openxmlformats.org/markup-compatibility/2006">
      <mc:Choice Requires="x14">
        <control shapeId="2085" r:id="rId10" name="SpinButton21">
          <controlPr autoLine="0" r:id="rId7">
            <anchor moveWithCells="1">
              <from>
                <xdr:col>25</xdr:col>
                <xdr:colOff>76200</xdr:colOff>
                <xdr:row>50</xdr:row>
                <xdr:rowOff>19050</xdr:rowOff>
              </from>
              <to>
                <xdr:col>25</xdr:col>
                <xdr:colOff>371475</xdr:colOff>
                <xdr:row>51</xdr:row>
                <xdr:rowOff>171450</xdr:rowOff>
              </to>
            </anchor>
          </controlPr>
        </control>
      </mc:Choice>
      <mc:Fallback>
        <control shapeId="2085" r:id="rId10" name="SpinButton21"/>
      </mc:Fallback>
    </mc:AlternateContent>
    <mc:AlternateContent xmlns:mc="http://schemas.openxmlformats.org/markup-compatibility/2006">
      <mc:Choice Requires="x14">
        <control shapeId="2084" r:id="rId11" name="SpinButton20">
          <controlPr autoLine="0" r:id="rId7">
            <anchor moveWithCells="1">
              <from>
                <xdr:col>24</xdr:col>
                <xdr:colOff>66675</xdr:colOff>
                <xdr:row>50</xdr:row>
                <xdr:rowOff>19050</xdr:rowOff>
              </from>
              <to>
                <xdr:col>24</xdr:col>
                <xdr:colOff>361950</xdr:colOff>
                <xdr:row>51</xdr:row>
                <xdr:rowOff>171450</xdr:rowOff>
              </to>
            </anchor>
          </controlPr>
        </control>
      </mc:Choice>
      <mc:Fallback>
        <control shapeId="2084" r:id="rId11" name="SpinButton20"/>
      </mc:Fallback>
    </mc:AlternateContent>
    <mc:AlternateContent xmlns:mc="http://schemas.openxmlformats.org/markup-compatibility/2006">
      <mc:Choice Requires="x14">
        <control shapeId="2083" r:id="rId12" name="SpinButton19">
          <controlPr autoLine="0" r:id="rId7">
            <anchor moveWithCells="1">
              <from>
                <xdr:col>23</xdr:col>
                <xdr:colOff>57150</xdr:colOff>
                <xdr:row>50</xdr:row>
                <xdr:rowOff>19050</xdr:rowOff>
              </from>
              <to>
                <xdr:col>23</xdr:col>
                <xdr:colOff>352425</xdr:colOff>
                <xdr:row>51</xdr:row>
                <xdr:rowOff>171450</xdr:rowOff>
              </to>
            </anchor>
          </controlPr>
        </control>
      </mc:Choice>
      <mc:Fallback>
        <control shapeId="2083" r:id="rId12" name="SpinButton19"/>
      </mc:Fallback>
    </mc:AlternateContent>
    <mc:AlternateContent xmlns:mc="http://schemas.openxmlformats.org/markup-compatibility/2006">
      <mc:Choice Requires="x14">
        <control shapeId="2082" r:id="rId13" name="SpinButton18">
          <controlPr autoLine="0" r:id="rId7">
            <anchor moveWithCells="1">
              <from>
                <xdr:col>22</xdr:col>
                <xdr:colOff>66675</xdr:colOff>
                <xdr:row>50</xdr:row>
                <xdr:rowOff>19050</xdr:rowOff>
              </from>
              <to>
                <xdr:col>22</xdr:col>
                <xdr:colOff>361950</xdr:colOff>
                <xdr:row>51</xdr:row>
                <xdr:rowOff>171450</xdr:rowOff>
              </to>
            </anchor>
          </controlPr>
        </control>
      </mc:Choice>
      <mc:Fallback>
        <control shapeId="2082" r:id="rId13" name="SpinButton18"/>
      </mc:Fallback>
    </mc:AlternateContent>
    <mc:AlternateContent xmlns:mc="http://schemas.openxmlformats.org/markup-compatibility/2006">
      <mc:Choice Requires="x14">
        <control shapeId="2081" r:id="rId14" name="SpinButton17">
          <controlPr autoLine="0" r:id="rId7">
            <anchor moveWithCells="1">
              <from>
                <xdr:col>21</xdr:col>
                <xdr:colOff>57150</xdr:colOff>
                <xdr:row>50</xdr:row>
                <xdr:rowOff>19050</xdr:rowOff>
              </from>
              <to>
                <xdr:col>21</xdr:col>
                <xdr:colOff>352425</xdr:colOff>
                <xdr:row>51</xdr:row>
                <xdr:rowOff>171450</xdr:rowOff>
              </to>
            </anchor>
          </controlPr>
        </control>
      </mc:Choice>
      <mc:Fallback>
        <control shapeId="2081" r:id="rId14" name="SpinButton17"/>
      </mc:Fallback>
    </mc:AlternateContent>
    <mc:AlternateContent xmlns:mc="http://schemas.openxmlformats.org/markup-compatibility/2006">
      <mc:Choice Requires="x14">
        <control shapeId="2080" r:id="rId15" name="SpinButton16">
          <controlPr autoLine="0" r:id="rId7">
            <anchor moveWithCells="1">
              <from>
                <xdr:col>20</xdr:col>
                <xdr:colOff>66675</xdr:colOff>
                <xdr:row>50</xdr:row>
                <xdr:rowOff>19050</xdr:rowOff>
              </from>
              <to>
                <xdr:col>20</xdr:col>
                <xdr:colOff>361950</xdr:colOff>
                <xdr:row>51</xdr:row>
                <xdr:rowOff>171450</xdr:rowOff>
              </to>
            </anchor>
          </controlPr>
        </control>
      </mc:Choice>
      <mc:Fallback>
        <control shapeId="2080" r:id="rId15" name="SpinButton16"/>
      </mc:Fallback>
    </mc:AlternateContent>
    <mc:AlternateContent xmlns:mc="http://schemas.openxmlformats.org/markup-compatibility/2006">
      <mc:Choice Requires="x14">
        <control shapeId="2079" r:id="rId16" name="SpinButton15">
          <controlPr autoLine="0" r:id="rId7">
            <anchor moveWithCells="1">
              <from>
                <xdr:col>19</xdr:col>
                <xdr:colOff>57150</xdr:colOff>
                <xdr:row>50</xdr:row>
                <xdr:rowOff>19050</xdr:rowOff>
              </from>
              <to>
                <xdr:col>19</xdr:col>
                <xdr:colOff>352425</xdr:colOff>
                <xdr:row>51</xdr:row>
                <xdr:rowOff>171450</xdr:rowOff>
              </to>
            </anchor>
          </controlPr>
        </control>
      </mc:Choice>
      <mc:Fallback>
        <control shapeId="2079" r:id="rId16" name="SpinButton15"/>
      </mc:Fallback>
    </mc:AlternateContent>
    <mc:AlternateContent xmlns:mc="http://schemas.openxmlformats.org/markup-compatibility/2006">
      <mc:Choice Requires="x14">
        <control shapeId="2078" r:id="rId17" name="SpinButton14">
          <controlPr autoLine="0" r:id="rId7">
            <anchor moveWithCells="1">
              <from>
                <xdr:col>18</xdr:col>
                <xdr:colOff>66675</xdr:colOff>
                <xdr:row>50</xdr:row>
                <xdr:rowOff>19050</xdr:rowOff>
              </from>
              <to>
                <xdr:col>18</xdr:col>
                <xdr:colOff>361950</xdr:colOff>
                <xdr:row>51</xdr:row>
                <xdr:rowOff>171450</xdr:rowOff>
              </to>
            </anchor>
          </controlPr>
        </control>
      </mc:Choice>
      <mc:Fallback>
        <control shapeId="2078" r:id="rId17" name="SpinButton14"/>
      </mc:Fallback>
    </mc:AlternateContent>
    <mc:AlternateContent xmlns:mc="http://schemas.openxmlformats.org/markup-compatibility/2006">
      <mc:Choice Requires="x14">
        <control shapeId="2077" r:id="rId18" name="SpinButton13">
          <controlPr autoLine="0" r:id="rId7">
            <anchor moveWithCells="1">
              <from>
                <xdr:col>17</xdr:col>
                <xdr:colOff>57150</xdr:colOff>
                <xdr:row>50</xdr:row>
                <xdr:rowOff>19050</xdr:rowOff>
              </from>
              <to>
                <xdr:col>17</xdr:col>
                <xdr:colOff>352425</xdr:colOff>
                <xdr:row>51</xdr:row>
                <xdr:rowOff>171450</xdr:rowOff>
              </to>
            </anchor>
          </controlPr>
        </control>
      </mc:Choice>
      <mc:Fallback>
        <control shapeId="2077" r:id="rId18" name="SpinButton13"/>
      </mc:Fallback>
    </mc:AlternateContent>
    <mc:AlternateContent xmlns:mc="http://schemas.openxmlformats.org/markup-compatibility/2006">
      <mc:Choice Requires="x14">
        <control shapeId="2076" r:id="rId19" name="SpinButton12">
          <controlPr autoLine="0" r:id="rId7">
            <anchor moveWithCells="1">
              <from>
                <xdr:col>16</xdr:col>
                <xdr:colOff>47625</xdr:colOff>
                <xdr:row>50</xdr:row>
                <xdr:rowOff>19050</xdr:rowOff>
              </from>
              <to>
                <xdr:col>16</xdr:col>
                <xdr:colOff>342900</xdr:colOff>
                <xdr:row>51</xdr:row>
                <xdr:rowOff>171450</xdr:rowOff>
              </to>
            </anchor>
          </controlPr>
        </control>
      </mc:Choice>
      <mc:Fallback>
        <control shapeId="2076" r:id="rId19" name="SpinButton12"/>
      </mc:Fallback>
    </mc:AlternateContent>
    <mc:AlternateContent xmlns:mc="http://schemas.openxmlformats.org/markup-compatibility/2006">
      <mc:Choice Requires="x14">
        <control shapeId="2075" r:id="rId20" name="SpinButton11">
          <controlPr autoLine="0" r:id="rId7">
            <anchor moveWithCells="1">
              <from>
                <xdr:col>15</xdr:col>
                <xdr:colOff>38100</xdr:colOff>
                <xdr:row>50</xdr:row>
                <xdr:rowOff>19050</xdr:rowOff>
              </from>
              <to>
                <xdr:col>15</xdr:col>
                <xdr:colOff>333375</xdr:colOff>
                <xdr:row>51</xdr:row>
                <xdr:rowOff>171450</xdr:rowOff>
              </to>
            </anchor>
          </controlPr>
        </control>
      </mc:Choice>
      <mc:Fallback>
        <control shapeId="2075" r:id="rId20" name="SpinButton11"/>
      </mc:Fallback>
    </mc:AlternateContent>
    <mc:AlternateContent xmlns:mc="http://schemas.openxmlformats.org/markup-compatibility/2006">
      <mc:Choice Requires="x14">
        <control shapeId="2074" r:id="rId21" name="SpinButton10">
          <controlPr autoLine="0" r:id="rId7">
            <anchor moveWithCells="1">
              <from>
                <xdr:col>14</xdr:col>
                <xdr:colOff>47625</xdr:colOff>
                <xdr:row>50</xdr:row>
                <xdr:rowOff>19050</xdr:rowOff>
              </from>
              <to>
                <xdr:col>14</xdr:col>
                <xdr:colOff>342900</xdr:colOff>
                <xdr:row>51</xdr:row>
                <xdr:rowOff>171450</xdr:rowOff>
              </to>
            </anchor>
          </controlPr>
        </control>
      </mc:Choice>
      <mc:Fallback>
        <control shapeId="2074" r:id="rId21" name="SpinButton10"/>
      </mc:Fallback>
    </mc:AlternateContent>
    <mc:AlternateContent xmlns:mc="http://schemas.openxmlformats.org/markup-compatibility/2006">
      <mc:Choice Requires="x14">
        <control shapeId="2073" r:id="rId22" name="SpinButton9">
          <controlPr autoLine="0" r:id="rId7">
            <anchor moveWithCells="1">
              <from>
                <xdr:col>13</xdr:col>
                <xdr:colOff>38100</xdr:colOff>
                <xdr:row>50</xdr:row>
                <xdr:rowOff>19050</xdr:rowOff>
              </from>
              <to>
                <xdr:col>13</xdr:col>
                <xdr:colOff>333375</xdr:colOff>
                <xdr:row>51</xdr:row>
                <xdr:rowOff>171450</xdr:rowOff>
              </to>
            </anchor>
          </controlPr>
        </control>
      </mc:Choice>
      <mc:Fallback>
        <control shapeId="2073" r:id="rId22" name="SpinButton9"/>
      </mc:Fallback>
    </mc:AlternateContent>
    <mc:AlternateContent xmlns:mc="http://schemas.openxmlformats.org/markup-compatibility/2006">
      <mc:Choice Requires="x14">
        <control shapeId="2072" r:id="rId23" name="SpinButton8">
          <controlPr autoLine="0" r:id="rId7">
            <anchor moveWithCells="1">
              <from>
                <xdr:col>12</xdr:col>
                <xdr:colOff>57150</xdr:colOff>
                <xdr:row>50</xdr:row>
                <xdr:rowOff>19050</xdr:rowOff>
              </from>
              <to>
                <xdr:col>12</xdr:col>
                <xdr:colOff>352425</xdr:colOff>
                <xdr:row>51</xdr:row>
                <xdr:rowOff>171450</xdr:rowOff>
              </to>
            </anchor>
          </controlPr>
        </control>
      </mc:Choice>
      <mc:Fallback>
        <control shapeId="2072" r:id="rId23" name="SpinButton8"/>
      </mc:Fallback>
    </mc:AlternateContent>
    <mc:AlternateContent xmlns:mc="http://schemas.openxmlformats.org/markup-compatibility/2006">
      <mc:Choice Requires="x14">
        <control shapeId="2071" r:id="rId24" name="SpinButton7">
          <controlPr autoLine="0" r:id="rId7">
            <anchor moveWithCells="1">
              <from>
                <xdr:col>11</xdr:col>
                <xdr:colOff>47625</xdr:colOff>
                <xdr:row>50</xdr:row>
                <xdr:rowOff>19050</xdr:rowOff>
              </from>
              <to>
                <xdr:col>11</xdr:col>
                <xdr:colOff>342900</xdr:colOff>
                <xdr:row>51</xdr:row>
                <xdr:rowOff>171450</xdr:rowOff>
              </to>
            </anchor>
          </controlPr>
        </control>
      </mc:Choice>
      <mc:Fallback>
        <control shapeId="2071" r:id="rId24" name="SpinButton7"/>
      </mc:Fallback>
    </mc:AlternateContent>
    <mc:AlternateContent xmlns:mc="http://schemas.openxmlformats.org/markup-compatibility/2006">
      <mc:Choice Requires="x14">
        <control shapeId="2070" r:id="rId25" name="SpinButton6">
          <controlPr autoLine="0" r:id="rId7">
            <anchor moveWithCells="1">
              <from>
                <xdr:col>10</xdr:col>
                <xdr:colOff>57150</xdr:colOff>
                <xdr:row>50</xdr:row>
                <xdr:rowOff>19050</xdr:rowOff>
              </from>
              <to>
                <xdr:col>10</xdr:col>
                <xdr:colOff>352425</xdr:colOff>
                <xdr:row>51</xdr:row>
                <xdr:rowOff>171450</xdr:rowOff>
              </to>
            </anchor>
          </controlPr>
        </control>
      </mc:Choice>
      <mc:Fallback>
        <control shapeId="2070" r:id="rId25" name="SpinButton6"/>
      </mc:Fallback>
    </mc:AlternateContent>
    <mc:AlternateContent xmlns:mc="http://schemas.openxmlformats.org/markup-compatibility/2006">
      <mc:Choice Requires="x14">
        <control shapeId="2069" r:id="rId26" name="SpinButton5">
          <controlPr autoLine="0" r:id="rId7">
            <anchor moveWithCells="1">
              <from>
                <xdr:col>9</xdr:col>
                <xdr:colOff>47625</xdr:colOff>
                <xdr:row>50</xdr:row>
                <xdr:rowOff>19050</xdr:rowOff>
              </from>
              <to>
                <xdr:col>9</xdr:col>
                <xdr:colOff>342900</xdr:colOff>
                <xdr:row>51</xdr:row>
                <xdr:rowOff>171450</xdr:rowOff>
              </to>
            </anchor>
          </controlPr>
        </control>
      </mc:Choice>
      <mc:Fallback>
        <control shapeId="2069" r:id="rId26" name="SpinButton5"/>
      </mc:Fallback>
    </mc:AlternateContent>
    <mc:AlternateContent xmlns:mc="http://schemas.openxmlformats.org/markup-compatibility/2006">
      <mc:Choice Requires="x14">
        <control shapeId="2068" r:id="rId27" name="SpinButton4">
          <controlPr autoLine="0" r:id="rId7">
            <anchor moveWithCells="1">
              <from>
                <xdr:col>8</xdr:col>
                <xdr:colOff>38100</xdr:colOff>
                <xdr:row>50</xdr:row>
                <xdr:rowOff>19050</xdr:rowOff>
              </from>
              <to>
                <xdr:col>8</xdr:col>
                <xdr:colOff>333375</xdr:colOff>
                <xdr:row>51</xdr:row>
                <xdr:rowOff>171450</xdr:rowOff>
              </to>
            </anchor>
          </controlPr>
        </control>
      </mc:Choice>
      <mc:Fallback>
        <control shapeId="2068" r:id="rId27" name="SpinButton4"/>
      </mc:Fallback>
    </mc:AlternateContent>
    <mc:AlternateContent xmlns:mc="http://schemas.openxmlformats.org/markup-compatibility/2006">
      <mc:Choice Requires="x14">
        <control shapeId="2067" r:id="rId28" name="SpinButton3">
          <controlPr autoLine="0" r:id="rId7">
            <anchor moveWithCells="1">
              <from>
                <xdr:col>7</xdr:col>
                <xdr:colOff>28575</xdr:colOff>
                <xdr:row>50</xdr:row>
                <xdr:rowOff>19050</xdr:rowOff>
              </from>
              <to>
                <xdr:col>7</xdr:col>
                <xdr:colOff>323850</xdr:colOff>
                <xdr:row>51</xdr:row>
                <xdr:rowOff>171450</xdr:rowOff>
              </to>
            </anchor>
          </controlPr>
        </control>
      </mc:Choice>
      <mc:Fallback>
        <control shapeId="2067" r:id="rId28" name="SpinButton3"/>
      </mc:Fallback>
    </mc:AlternateContent>
    <mc:AlternateContent xmlns:mc="http://schemas.openxmlformats.org/markup-compatibility/2006">
      <mc:Choice Requires="x14">
        <control shapeId="2066" r:id="rId29" name="SpinButton2">
          <controlPr autoLine="0" r:id="rId7">
            <anchor moveWithCells="1">
              <from>
                <xdr:col>6</xdr:col>
                <xdr:colOff>38100</xdr:colOff>
                <xdr:row>50</xdr:row>
                <xdr:rowOff>19050</xdr:rowOff>
              </from>
              <to>
                <xdr:col>6</xdr:col>
                <xdr:colOff>333375</xdr:colOff>
                <xdr:row>51</xdr:row>
                <xdr:rowOff>171450</xdr:rowOff>
              </to>
            </anchor>
          </controlPr>
        </control>
      </mc:Choice>
      <mc:Fallback>
        <control shapeId="2066" r:id="rId29" name="SpinButton2"/>
      </mc:Fallback>
    </mc:AlternateContent>
    <mc:AlternateContent xmlns:mc="http://schemas.openxmlformats.org/markup-compatibility/2006">
      <mc:Choice Requires="x14">
        <control shapeId="2065" r:id="rId30" name="SpinButton1">
          <controlPr autoLine="0" r:id="rId7">
            <anchor moveWithCells="1">
              <from>
                <xdr:col>5</xdr:col>
                <xdr:colOff>28575</xdr:colOff>
                <xdr:row>50</xdr:row>
                <xdr:rowOff>19050</xdr:rowOff>
              </from>
              <to>
                <xdr:col>5</xdr:col>
                <xdr:colOff>323850</xdr:colOff>
                <xdr:row>51</xdr:row>
                <xdr:rowOff>171450</xdr:rowOff>
              </to>
            </anchor>
          </controlPr>
        </control>
      </mc:Choice>
      <mc:Fallback>
        <control shapeId="2065" r:id="rId30" name="SpinButton1"/>
      </mc:Fallback>
    </mc:AlternateContent>
    <mc:AlternateContent xmlns:mc="http://schemas.openxmlformats.org/markup-compatibility/2006">
      <mc:Choice Requires="x14">
        <control shapeId="2063" r:id="rId31" name="CommandButton3">
          <controlPr autoLine="0" r:id="rId32">
            <anchor moveWithCells="1">
              <from>
                <xdr:col>22</xdr:col>
                <xdr:colOff>95250</xdr:colOff>
                <xdr:row>41</xdr:row>
                <xdr:rowOff>180975</xdr:rowOff>
              </from>
              <to>
                <xdr:col>25</xdr:col>
                <xdr:colOff>200025</xdr:colOff>
                <xdr:row>43</xdr:row>
                <xdr:rowOff>190500</xdr:rowOff>
              </to>
            </anchor>
          </controlPr>
        </control>
      </mc:Choice>
      <mc:Fallback>
        <control shapeId="2063" r:id="rId31" name="CommandButton3"/>
      </mc:Fallback>
    </mc:AlternateContent>
    <mc:AlternateContent xmlns:mc="http://schemas.openxmlformats.org/markup-compatibility/2006">
      <mc:Choice Requires="x14">
        <control shapeId="2054" r:id="rId33" name="CommandButton2">
          <controlPr autoLine="0" r:id="rId34">
            <anchor moveWithCells="1">
              <from>
                <xdr:col>17</xdr:col>
                <xdr:colOff>85725</xdr:colOff>
                <xdr:row>42</xdr:row>
                <xdr:rowOff>0</xdr:rowOff>
              </from>
              <to>
                <xdr:col>20</xdr:col>
                <xdr:colOff>390525</xdr:colOff>
                <xdr:row>44</xdr:row>
                <xdr:rowOff>0</xdr:rowOff>
              </to>
            </anchor>
          </controlPr>
        </control>
      </mc:Choice>
      <mc:Fallback>
        <control shapeId="2054" r:id="rId33" name="CommandButton2"/>
      </mc:Fallback>
    </mc:AlternateContent>
    <mc:AlternateContent xmlns:mc="http://schemas.openxmlformats.org/markup-compatibility/2006">
      <mc:Choice Requires="x14">
        <control shapeId="2052" r:id="rId35" name="CheckBox4">
          <controlPr autoLine="0" r:id="rId36">
            <anchor moveWithCells="1">
              <from>
                <xdr:col>1</xdr:col>
                <xdr:colOff>323850</xdr:colOff>
                <xdr:row>48</xdr:row>
                <xdr:rowOff>28575</xdr:rowOff>
              </from>
              <to>
                <xdr:col>1</xdr:col>
                <xdr:colOff>504825</xdr:colOff>
                <xdr:row>48</xdr:row>
                <xdr:rowOff>219075</xdr:rowOff>
              </to>
            </anchor>
          </controlPr>
        </control>
      </mc:Choice>
      <mc:Fallback>
        <control shapeId="2052" r:id="rId35" name="CheckBox4"/>
      </mc:Fallback>
    </mc:AlternateContent>
    <mc:AlternateContent xmlns:mc="http://schemas.openxmlformats.org/markup-compatibility/2006">
      <mc:Choice Requires="x14">
        <control shapeId="2051" r:id="rId37" name="CheckBox3">
          <controlPr autoLine="0" r:id="rId38">
            <anchor moveWithCells="1">
              <from>
                <xdr:col>1</xdr:col>
                <xdr:colOff>323850</xdr:colOff>
                <xdr:row>47</xdr:row>
                <xdr:rowOff>38100</xdr:rowOff>
              </from>
              <to>
                <xdr:col>1</xdr:col>
                <xdr:colOff>466725</xdr:colOff>
                <xdr:row>47</xdr:row>
                <xdr:rowOff>228600</xdr:rowOff>
              </to>
            </anchor>
          </controlPr>
        </control>
      </mc:Choice>
      <mc:Fallback>
        <control shapeId="2051" r:id="rId37" name="CheckBox3"/>
      </mc:Fallback>
    </mc:AlternateContent>
    <mc:AlternateContent xmlns:mc="http://schemas.openxmlformats.org/markup-compatibility/2006">
      <mc:Choice Requires="x14">
        <control shapeId="2050" r:id="rId39" name="CheckBox2">
          <controlPr autoLine="0" r:id="rId40">
            <anchor moveWithCells="1">
              <from>
                <xdr:col>1</xdr:col>
                <xdr:colOff>323850</xdr:colOff>
                <xdr:row>46</xdr:row>
                <xdr:rowOff>38100</xdr:rowOff>
              </from>
              <to>
                <xdr:col>1</xdr:col>
                <xdr:colOff>504825</xdr:colOff>
                <xdr:row>46</xdr:row>
                <xdr:rowOff>228600</xdr:rowOff>
              </to>
            </anchor>
          </controlPr>
        </control>
      </mc:Choice>
      <mc:Fallback>
        <control shapeId="2050" r:id="rId39" name="CheckBox2"/>
      </mc:Fallback>
    </mc:AlternateContent>
    <mc:AlternateContent xmlns:mc="http://schemas.openxmlformats.org/markup-compatibility/2006">
      <mc:Choice Requires="x14">
        <control shapeId="2049" r:id="rId41" name="CheckBox1">
          <controlPr autoLine="0" r:id="rId36">
            <anchor moveWithCells="1">
              <from>
                <xdr:col>1</xdr:col>
                <xdr:colOff>323850</xdr:colOff>
                <xdr:row>45</xdr:row>
                <xdr:rowOff>66675</xdr:rowOff>
              </from>
              <to>
                <xdr:col>1</xdr:col>
                <xdr:colOff>504825</xdr:colOff>
                <xdr:row>46</xdr:row>
                <xdr:rowOff>9525</xdr:rowOff>
              </to>
            </anchor>
          </controlPr>
        </control>
      </mc:Choice>
      <mc:Fallback>
        <control shapeId="2049" r:id="rId41" name="CheckBox1"/>
      </mc:Fallback>
    </mc:AlternateContent>
    <mc:AlternateContent xmlns:mc="http://schemas.openxmlformats.org/markup-compatibility/2006">
      <mc:Choice Requires="x14">
        <control shapeId="2115" r:id="rId42" name="CheckBox5">
          <controlPr defaultSize="0" autoLine="0" r:id="rId43">
            <anchor moveWithCells="1">
              <from>
                <xdr:col>1</xdr:col>
                <xdr:colOff>323850</xdr:colOff>
                <xdr:row>49</xdr:row>
                <xdr:rowOff>47625</xdr:rowOff>
              </from>
              <to>
                <xdr:col>1</xdr:col>
                <xdr:colOff>504825</xdr:colOff>
                <xdr:row>49</xdr:row>
                <xdr:rowOff>238125</xdr:rowOff>
              </to>
            </anchor>
          </controlPr>
        </control>
      </mc:Choice>
      <mc:Fallback>
        <control shapeId="2115" r:id="rId42" name="CheckBox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2:AB24"/>
  <sheetViews>
    <sheetView workbookViewId="0">
      <selection activeCell="B9" sqref="B9:AB9"/>
    </sheetView>
  </sheetViews>
  <sheetFormatPr defaultRowHeight="15" x14ac:dyDescent="0.25"/>
  <cols>
    <col min="1" max="1" width="9" bestFit="1" customWidth="1"/>
    <col min="2" max="2" width="9.85546875" customWidth="1"/>
    <col min="3" max="6" width="9.5703125" bestFit="1" customWidth="1"/>
    <col min="7" max="7" width="8.7109375" bestFit="1" customWidth="1"/>
    <col min="8" max="25" width="9.5703125" bestFit="1" customWidth="1"/>
    <col min="26" max="27" width="7.5703125" bestFit="1" customWidth="1"/>
    <col min="28" max="28" width="8.5703125" bestFit="1" customWidth="1"/>
    <col min="29" max="32" width="3.42578125" customWidth="1"/>
  </cols>
  <sheetData>
    <row r="2" spans="1:28" x14ac:dyDescent="0.25">
      <c r="B2" t="s">
        <v>12</v>
      </c>
    </row>
    <row r="4" spans="1:28" x14ac:dyDescent="0.25">
      <c r="A4" s="149" t="s">
        <v>13</v>
      </c>
      <c r="B4" s="149">
        <v>22</v>
      </c>
      <c r="C4" s="149">
        <v>23</v>
      </c>
      <c r="D4" s="149">
        <v>24</v>
      </c>
      <c r="E4" s="149">
        <v>1</v>
      </c>
      <c r="F4" s="149">
        <v>2</v>
      </c>
      <c r="G4" s="149">
        <v>3</v>
      </c>
      <c r="H4" s="149">
        <v>4</v>
      </c>
      <c r="I4" s="149">
        <v>5</v>
      </c>
      <c r="J4" s="149">
        <v>6</v>
      </c>
      <c r="K4" s="149">
        <v>7</v>
      </c>
      <c r="L4" s="149">
        <v>8</v>
      </c>
      <c r="M4" s="149">
        <v>9</v>
      </c>
      <c r="N4" s="149">
        <v>10</v>
      </c>
      <c r="O4" s="149">
        <v>11</v>
      </c>
      <c r="P4" s="149">
        <v>12</v>
      </c>
      <c r="Q4" s="149">
        <v>13</v>
      </c>
      <c r="R4" s="149">
        <v>14</v>
      </c>
      <c r="S4" s="149">
        <v>15</v>
      </c>
      <c r="T4" s="149">
        <v>16</v>
      </c>
      <c r="U4" s="149">
        <v>17</v>
      </c>
      <c r="V4" s="149">
        <v>18</v>
      </c>
      <c r="W4" s="149">
        <v>19</v>
      </c>
      <c r="X4" s="149">
        <v>20</v>
      </c>
      <c r="Y4" s="149">
        <v>21</v>
      </c>
      <c r="Z4" s="149">
        <v>22</v>
      </c>
      <c r="AA4" s="149">
        <v>23</v>
      </c>
      <c r="AB4" s="149">
        <v>24</v>
      </c>
    </row>
    <row r="5" spans="1:28" x14ac:dyDescent="0.25">
      <c r="A5" s="150">
        <v>40650</v>
      </c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  <c r="AA5" s="151"/>
      <c r="AB5" s="151"/>
    </row>
    <row r="6" spans="1:28" x14ac:dyDescent="0.25">
      <c r="A6" s="150">
        <v>40643</v>
      </c>
      <c r="B6" s="152">
        <v>191.34622500000006</v>
      </c>
      <c r="C6" s="152">
        <v>194.22302600000006</v>
      </c>
      <c r="D6" s="152">
        <v>193.57837800000001</v>
      </c>
      <c r="E6" s="152">
        <v>185.44924300000002</v>
      </c>
      <c r="F6" s="152">
        <v>184.57111200000003</v>
      </c>
      <c r="G6" s="152">
        <v>185.01452299999994</v>
      </c>
      <c r="H6" s="152">
        <v>188.20212199999992</v>
      </c>
      <c r="I6" s="152">
        <v>190.99848499999993</v>
      </c>
      <c r="J6" s="152">
        <v>188.11407699999995</v>
      </c>
      <c r="K6" s="152">
        <v>190.81377099999992</v>
      </c>
      <c r="L6" s="152">
        <v>186.43783999999991</v>
      </c>
      <c r="M6" s="152">
        <v>183.03049500000003</v>
      </c>
      <c r="N6" s="152">
        <v>181.85659700000002</v>
      </c>
      <c r="O6" s="152">
        <v>177.45324999999997</v>
      </c>
      <c r="P6" s="152">
        <v>177.58917599999995</v>
      </c>
      <c r="Q6" s="152">
        <v>176.41456000000005</v>
      </c>
      <c r="R6" s="152">
        <v>172.87826299999992</v>
      </c>
      <c r="S6" s="152">
        <v>173.80621899999994</v>
      </c>
      <c r="T6" s="152">
        <v>177.30487899999991</v>
      </c>
      <c r="U6" s="152">
        <v>176.89952599999992</v>
      </c>
      <c r="V6" s="152">
        <v>183.22515299999995</v>
      </c>
      <c r="W6" s="152">
        <v>183.88778899999997</v>
      </c>
      <c r="X6" s="152">
        <v>183.91210699999996</v>
      </c>
      <c r="Y6" s="152">
        <v>185.30496499999998</v>
      </c>
      <c r="Z6" s="151">
        <v>186.92206299999995</v>
      </c>
      <c r="AA6" s="151">
        <v>187.18281499999998</v>
      </c>
      <c r="AB6" s="151">
        <v>185.19604999999993</v>
      </c>
    </row>
    <row r="7" spans="1:28" x14ac:dyDescent="0.25">
      <c r="A7" s="150">
        <v>40664</v>
      </c>
      <c r="B7" s="152">
        <v>188.80394700000002</v>
      </c>
      <c r="C7" s="152">
        <v>190.53227200000012</v>
      </c>
      <c r="D7" s="152">
        <v>191.07033399999997</v>
      </c>
      <c r="E7" s="152">
        <v>167.05813500000002</v>
      </c>
      <c r="F7" s="152">
        <v>170.39978099999993</v>
      </c>
      <c r="G7" s="152">
        <v>170.76194700000002</v>
      </c>
      <c r="H7" s="152">
        <v>177.80940100000004</v>
      </c>
      <c r="I7" s="152">
        <v>179.45221299999997</v>
      </c>
      <c r="J7" s="152">
        <v>184.36298899999997</v>
      </c>
      <c r="K7" s="152">
        <v>186.84212900000003</v>
      </c>
      <c r="L7" s="152">
        <v>186.30220400000002</v>
      </c>
      <c r="M7" s="152">
        <v>186.18876700000004</v>
      </c>
      <c r="N7" s="152">
        <v>185.42363500000005</v>
      </c>
      <c r="O7" s="152">
        <v>179.71737900000002</v>
      </c>
      <c r="P7" s="152">
        <v>176.63733400000001</v>
      </c>
      <c r="Q7" s="152">
        <v>174.14763100000002</v>
      </c>
      <c r="R7" s="152">
        <v>170.84973000000008</v>
      </c>
      <c r="S7" s="152">
        <v>171.78827399999997</v>
      </c>
      <c r="T7" s="152">
        <v>174.505922</v>
      </c>
      <c r="U7" s="152">
        <v>173.69458700000001</v>
      </c>
      <c r="V7" s="152">
        <v>171.64759099999998</v>
      </c>
      <c r="W7" s="152">
        <v>172.367141</v>
      </c>
      <c r="X7" s="152">
        <v>173.686486</v>
      </c>
      <c r="Y7" s="152">
        <v>172.19969500000005</v>
      </c>
      <c r="Z7" s="151">
        <v>172.36758399999999</v>
      </c>
      <c r="AA7" s="151">
        <v>176.47390800000002</v>
      </c>
      <c r="AB7" s="151">
        <v>179.57161400000001</v>
      </c>
    </row>
    <row r="8" spans="1:28" x14ac:dyDescent="0.25">
      <c r="A8" s="150">
        <v>40670</v>
      </c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152"/>
      <c r="W8" s="152"/>
      <c r="X8" s="152"/>
      <c r="Y8" s="152"/>
      <c r="Z8" s="151"/>
      <c r="AA8" s="151"/>
      <c r="AB8" s="151"/>
    </row>
    <row r="9" spans="1:28" x14ac:dyDescent="0.25">
      <c r="A9" s="149" t="s">
        <v>7</v>
      </c>
      <c r="B9" s="153">
        <v>190.07508600000006</v>
      </c>
      <c r="C9" s="153">
        <v>192.37764900000008</v>
      </c>
      <c r="D9" s="153">
        <v>192.32435599999999</v>
      </c>
      <c r="E9" s="153">
        <v>176.25368900000001</v>
      </c>
      <c r="F9" s="153">
        <v>177.48544649999997</v>
      </c>
      <c r="G9" s="153">
        <v>177.88823499999998</v>
      </c>
      <c r="H9" s="153">
        <v>183.00576149999998</v>
      </c>
      <c r="I9" s="153">
        <v>185.22534899999994</v>
      </c>
      <c r="J9" s="153">
        <v>186.23853299999996</v>
      </c>
      <c r="K9" s="153">
        <v>188.82794999999999</v>
      </c>
      <c r="L9" s="153">
        <v>186.37002199999995</v>
      </c>
      <c r="M9" s="153">
        <v>184.60963100000004</v>
      </c>
      <c r="N9" s="153">
        <v>183.64011600000003</v>
      </c>
      <c r="O9" s="153">
        <v>178.58531449999998</v>
      </c>
      <c r="P9" s="153">
        <v>177.11325499999998</v>
      </c>
      <c r="Q9" s="153">
        <v>175.28109550000005</v>
      </c>
      <c r="R9" s="153">
        <v>171.86399649999998</v>
      </c>
      <c r="S9" s="153">
        <v>172.79724649999997</v>
      </c>
      <c r="T9" s="153">
        <v>175.90540049999996</v>
      </c>
      <c r="U9" s="153">
        <v>175.29705649999997</v>
      </c>
      <c r="V9" s="153">
        <v>177.43637199999995</v>
      </c>
      <c r="W9" s="153">
        <v>178.12746499999997</v>
      </c>
      <c r="X9" s="153">
        <v>178.79929649999997</v>
      </c>
      <c r="Y9" s="153">
        <v>178.75233000000003</v>
      </c>
      <c r="Z9" s="151">
        <v>179.64482349999997</v>
      </c>
      <c r="AA9" s="151">
        <v>181.8283615</v>
      </c>
      <c r="AB9" s="151">
        <v>182.38383199999998</v>
      </c>
    </row>
    <row r="10" spans="1:28" x14ac:dyDescent="0.25">
      <c r="A10" s="154"/>
      <c r="B10" s="154"/>
      <c r="C10" s="154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4"/>
      <c r="O10" s="154"/>
      <c r="P10" s="154"/>
      <c r="Q10" s="154"/>
      <c r="R10" s="154"/>
      <c r="S10" s="154"/>
      <c r="T10" s="154"/>
      <c r="U10" s="154"/>
      <c r="V10" s="154"/>
      <c r="W10" s="154"/>
      <c r="X10" s="154"/>
      <c r="Y10" s="154"/>
      <c r="AB10" s="233"/>
    </row>
    <row r="11" spans="1:28" x14ac:dyDescent="0.25">
      <c r="A11" s="148" t="s">
        <v>14</v>
      </c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</row>
    <row r="12" spans="1:28" x14ac:dyDescent="0.25">
      <c r="A12" s="154"/>
      <c r="B12" s="154"/>
      <c r="C12" s="154"/>
      <c r="D12" s="154"/>
      <c r="E12" s="154"/>
      <c r="F12" s="154"/>
      <c r="G12" s="154"/>
      <c r="H12" s="154"/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AB12" s="233">
        <f>MIN(B5:AB9)</f>
        <v>167.05813500000002</v>
      </c>
    </row>
    <row r="13" spans="1:28" x14ac:dyDescent="0.25">
      <c r="A13" s="154"/>
      <c r="B13" s="154"/>
      <c r="C13" s="154"/>
      <c r="D13" s="154"/>
      <c r="E13" s="154"/>
      <c r="F13" s="154"/>
      <c r="G13" s="154"/>
      <c r="H13" s="154"/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54"/>
      <c r="T13" s="154"/>
      <c r="U13" s="154"/>
      <c r="V13" s="154"/>
      <c r="W13" s="154"/>
      <c r="X13" s="154"/>
      <c r="Y13" s="154"/>
    </row>
    <row r="14" spans="1:28" x14ac:dyDescent="0.25">
      <c r="A14" s="154"/>
      <c r="B14" s="154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</row>
    <row r="15" spans="1:28" x14ac:dyDescent="0.25">
      <c r="B15" t="s">
        <v>15</v>
      </c>
    </row>
    <row r="17" spans="1:28" x14ac:dyDescent="0.25">
      <c r="A17" s="149" t="s">
        <v>13</v>
      </c>
      <c r="B17" s="149">
        <v>22</v>
      </c>
      <c r="C17" s="149">
        <v>23</v>
      </c>
      <c r="D17" s="149">
        <v>24</v>
      </c>
      <c r="E17" s="149">
        <v>1</v>
      </c>
      <c r="F17" s="149">
        <v>2</v>
      </c>
      <c r="G17" s="149">
        <v>3</v>
      </c>
      <c r="H17" s="149">
        <v>4</v>
      </c>
      <c r="I17" s="149">
        <v>5</v>
      </c>
      <c r="J17" s="149">
        <v>6</v>
      </c>
      <c r="K17" s="149">
        <v>7</v>
      </c>
      <c r="L17" s="149">
        <v>8</v>
      </c>
      <c r="M17" s="149">
        <v>9</v>
      </c>
      <c r="N17" s="149">
        <v>10</v>
      </c>
      <c r="O17" s="149">
        <v>11</v>
      </c>
      <c r="P17" s="149">
        <v>12</v>
      </c>
      <c r="Q17" s="149">
        <v>13</v>
      </c>
      <c r="R17" s="149">
        <v>14</v>
      </c>
      <c r="S17" s="149">
        <v>15</v>
      </c>
      <c r="T17" s="149">
        <v>16</v>
      </c>
      <c r="U17" s="149">
        <v>17</v>
      </c>
      <c r="V17" s="149">
        <v>18</v>
      </c>
      <c r="W17" s="149">
        <v>19</v>
      </c>
      <c r="X17" s="149">
        <v>20</v>
      </c>
      <c r="Y17" s="149">
        <v>21</v>
      </c>
      <c r="Z17" s="149">
        <v>22</v>
      </c>
      <c r="AA17" s="149">
        <v>23</v>
      </c>
      <c r="AB17" s="149">
        <v>24</v>
      </c>
    </row>
    <row r="18" spans="1:28" x14ac:dyDescent="0.25">
      <c r="A18" s="150">
        <v>40650</v>
      </c>
      <c r="B18" s="151"/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</row>
    <row r="19" spans="1:28" x14ac:dyDescent="0.25">
      <c r="A19" s="150">
        <v>40643</v>
      </c>
      <c r="B19" s="152"/>
      <c r="C19" s="152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152"/>
      <c r="T19" s="152"/>
      <c r="U19" s="152"/>
      <c r="V19" s="152"/>
      <c r="W19" s="152"/>
      <c r="X19" s="152"/>
      <c r="Y19" s="152"/>
      <c r="Z19" s="151"/>
      <c r="AA19" s="151"/>
      <c r="AB19" s="151"/>
    </row>
    <row r="20" spans="1:28" x14ac:dyDescent="0.25">
      <c r="A20" s="150">
        <v>40664</v>
      </c>
      <c r="B20" s="152"/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2"/>
      <c r="U20" s="152"/>
      <c r="V20" s="152"/>
      <c r="W20" s="152"/>
      <c r="X20" s="152"/>
      <c r="Y20" s="152"/>
      <c r="Z20" s="151"/>
      <c r="AA20" s="151"/>
      <c r="AB20" s="151"/>
    </row>
    <row r="21" spans="1:28" x14ac:dyDescent="0.25">
      <c r="A21" s="150">
        <v>40671</v>
      </c>
      <c r="B21" s="152"/>
      <c r="C21" s="152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152"/>
      <c r="T21" s="152"/>
      <c r="U21" s="152"/>
      <c r="V21" s="152"/>
      <c r="W21" s="152"/>
      <c r="X21" s="152"/>
      <c r="Y21" s="152"/>
      <c r="Z21" s="151"/>
      <c r="AA21" s="151"/>
      <c r="AB21" s="151"/>
    </row>
    <row r="22" spans="1:28" x14ac:dyDescent="0.25">
      <c r="A22" s="149" t="s">
        <v>7</v>
      </c>
      <c r="B22" s="153">
        <v>1160.3822494809237</v>
      </c>
      <c r="C22" s="153">
        <v>1122.0169733351229</v>
      </c>
      <c r="D22" s="153">
        <v>1079.2616416344131</v>
      </c>
      <c r="E22" s="153">
        <v>1053.500585</v>
      </c>
      <c r="F22" s="153">
        <v>1012.94346</v>
      </c>
      <c r="G22" s="153">
        <v>997.84987000000001</v>
      </c>
      <c r="H22" s="153">
        <v>979.51743999999997</v>
      </c>
      <c r="I22" s="153">
        <v>971.13663499999996</v>
      </c>
      <c r="J22" s="153">
        <v>971.65654500000005</v>
      </c>
      <c r="K22" s="153">
        <v>1033.2149899999999</v>
      </c>
      <c r="L22" s="153">
        <v>1117.28332</v>
      </c>
      <c r="M22" s="153">
        <v>1223.4817750000002</v>
      </c>
      <c r="N22" s="153">
        <v>1328.8495700000001</v>
      </c>
      <c r="O22" s="153">
        <v>1380.0338999999999</v>
      </c>
      <c r="P22" s="153">
        <v>1382.0664735435528</v>
      </c>
      <c r="Q22" s="153">
        <v>1364.0479881352867</v>
      </c>
      <c r="R22" s="153">
        <v>1363.624331504594</v>
      </c>
      <c r="S22" s="153">
        <v>1329.0407255992479</v>
      </c>
      <c r="T22" s="153">
        <v>1340.6036278818399</v>
      </c>
      <c r="U22" s="153">
        <v>1405.6736683090696</v>
      </c>
      <c r="V22" s="153">
        <v>1401.3300944886471</v>
      </c>
      <c r="W22" s="153">
        <v>1370.28778957953</v>
      </c>
      <c r="X22" s="153">
        <v>1322.2533014532917</v>
      </c>
      <c r="Y22" s="153">
        <v>1275.4654542702253</v>
      </c>
      <c r="Z22" s="151">
        <v>1228.9412782743782</v>
      </c>
      <c r="AA22" s="151">
        <v>1186.6563073446493</v>
      </c>
      <c r="AB22" s="151">
        <v>1144.8383867637065</v>
      </c>
    </row>
    <row r="23" spans="1:28" x14ac:dyDescent="0.25">
      <c r="A23" s="154"/>
      <c r="B23" s="154"/>
      <c r="C23" s="154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  <c r="W23" s="154"/>
      <c r="X23" s="154"/>
      <c r="Y23" s="154"/>
    </row>
    <row r="24" spans="1:28" s="5" customFormat="1" x14ac:dyDescent="0.25">
      <c r="A24" s="147"/>
      <c r="B24" s="116"/>
      <c r="C24" s="116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BJ91"/>
  <sheetViews>
    <sheetView zoomScaleNormal="100" zoomScaleSheetLayoutView="100" workbookViewId="0">
      <selection activeCell="M33" sqref="M33"/>
    </sheetView>
  </sheetViews>
  <sheetFormatPr defaultRowHeight="12.75" x14ac:dyDescent="0.2"/>
  <cols>
    <col min="1" max="1" width="3.85546875" style="64" customWidth="1"/>
    <col min="2" max="2" width="4.85546875" style="64" customWidth="1"/>
    <col min="3" max="3" width="6.7109375" style="64" customWidth="1"/>
    <col min="4" max="4" width="7.28515625" style="64" customWidth="1"/>
    <col min="5" max="5" width="6.5703125" style="64" customWidth="1"/>
    <col min="6" max="6" width="8.28515625" style="64" customWidth="1"/>
    <col min="7" max="7" width="7.7109375" style="64" customWidth="1"/>
    <col min="8" max="8" width="5.42578125" style="64" customWidth="1"/>
    <col min="9" max="9" width="8.42578125" style="64" customWidth="1"/>
    <col min="10" max="10" width="7.5703125" style="64" customWidth="1"/>
    <col min="11" max="11" width="6.5703125" style="64" customWidth="1"/>
    <col min="12" max="12" width="7.7109375" style="64" customWidth="1"/>
    <col min="13" max="13" width="10.85546875" style="64" customWidth="1"/>
    <col min="14" max="14" width="5.5703125" style="64" customWidth="1"/>
    <col min="15" max="15" width="7.5703125" style="64" customWidth="1"/>
    <col min="16" max="16" width="8.5703125" style="64" customWidth="1"/>
    <col min="17" max="17" width="6.5703125" style="64" customWidth="1"/>
    <col min="18" max="18" width="8.7109375" style="64" customWidth="1"/>
    <col min="19" max="19" width="7.42578125" style="64" customWidth="1"/>
    <col min="20" max="20" width="4.85546875" style="64" customWidth="1"/>
    <col min="21" max="21" width="7.85546875" style="64" customWidth="1"/>
    <col min="22" max="22" width="8.28515625" style="64" customWidth="1"/>
    <col min="23" max="23" width="6.5703125" style="64" customWidth="1"/>
    <col min="24" max="24" width="8.140625" style="64" customWidth="1"/>
    <col min="25" max="25" width="10.140625" style="64" customWidth="1"/>
    <col min="26" max="48" width="6.5703125" style="64" customWidth="1"/>
    <col min="49" max="54" width="6" style="64" customWidth="1"/>
    <col min="55" max="59" width="5" style="64" customWidth="1"/>
    <col min="60" max="16384" width="9.140625" style="64"/>
  </cols>
  <sheetData>
    <row r="1" spans="1:62" ht="10.7" customHeight="1" x14ac:dyDescent="0.2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2"/>
      <c r="W1" s="62"/>
      <c r="X1" s="62"/>
      <c r="Y1" s="62"/>
      <c r="Z1" s="62"/>
      <c r="AA1" s="62"/>
      <c r="AB1" s="240"/>
      <c r="AC1" s="240"/>
      <c r="AD1" s="240"/>
      <c r="AE1" s="240"/>
      <c r="AF1" s="240"/>
      <c r="AG1" s="240"/>
      <c r="AH1" s="240"/>
      <c r="AI1" s="240"/>
      <c r="AJ1" s="240"/>
      <c r="AK1" s="240"/>
      <c r="AL1" s="240"/>
      <c r="AM1" s="240"/>
      <c r="AN1" s="240"/>
      <c r="AO1" s="240"/>
      <c r="AP1" s="240"/>
      <c r="AQ1" s="240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</row>
    <row r="2" spans="1:62" ht="10.7" customHeight="1" x14ac:dyDescent="0.2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2"/>
      <c r="W2" s="62"/>
      <c r="X2" s="62"/>
      <c r="Y2" s="62"/>
      <c r="Z2" s="62"/>
      <c r="AA2" s="62"/>
      <c r="AB2" s="240"/>
      <c r="AC2" s="240"/>
      <c r="AD2" s="240"/>
      <c r="AE2" s="240"/>
      <c r="AF2" s="240"/>
      <c r="AG2" s="240"/>
      <c r="AH2" s="240"/>
      <c r="AI2" s="240"/>
      <c r="AJ2" s="240"/>
      <c r="AK2" s="240"/>
      <c r="AL2" s="240"/>
      <c r="AM2" s="240"/>
      <c r="AN2" s="240"/>
      <c r="AO2" s="240"/>
      <c r="AP2" s="240"/>
      <c r="AQ2" s="240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</row>
    <row r="3" spans="1:62" ht="10.7" customHeight="1" x14ac:dyDescent="0.2">
      <c r="A3" s="61"/>
      <c r="B3" s="61"/>
      <c r="C3" s="61"/>
      <c r="D3" s="61"/>
      <c r="E3" s="61"/>
      <c r="F3" s="61"/>
      <c r="G3" s="61"/>
      <c r="H3" s="61"/>
      <c r="I3" s="61"/>
      <c r="J3" s="61"/>
      <c r="K3" s="65"/>
      <c r="L3" s="61"/>
      <c r="M3" s="61"/>
      <c r="N3" s="61"/>
      <c r="O3" s="61"/>
      <c r="P3" s="61"/>
      <c r="Q3" s="61"/>
      <c r="R3" s="61"/>
      <c r="S3" s="61"/>
      <c r="T3" s="61"/>
      <c r="U3" s="61"/>
      <c r="V3" s="62"/>
      <c r="W3" s="62"/>
      <c r="X3" s="62"/>
      <c r="Y3" s="62"/>
      <c r="Z3" s="62"/>
      <c r="AA3" s="62"/>
      <c r="AB3" s="240"/>
      <c r="AC3" s="240"/>
      <c r="AD3" s="240"/>
      <c r="AE3" s="240"/>
      <c r="AF3" s="240"/>
      <c r="AG3" s="240"/>
      <c r="AH3" s="240"/>
      <c r="AI3" s="240"/>
      <c r="AJ3" s="240"/>
      <c r="AK3" s="240"/>
      <c r="AL3" s="240"/>
      <c r="AM3" s="240"/>
      <c r="AN3" s="240"/>
      <c r="AO3" s="240"/>
      <c r="AP3" s="240"/>
      <c r="AQ3" s="240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</row>
    <row r="4" spans="1:62" ht="10.7" customHeight="1" x14ac:dyDescent="0.2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2"/>
      <c r="W4" s="62"/>
      <c r="X4" s="62"/>
      <c r="Y4" s="62"/>
      <c r="Z4" s="62"/>
      <c r="AA4" s="62"/>
      <c r="AB4" s="240"/>
      <c r="AC4" s="240"/>
      <c r="AD4" s="240"/>
      <c r="AE4" s="240"/>
      <c r="AF4" s="240"/>
      <c r="AG4" s="240"/>
      <c r="AH4" s="240"/>
      <c r="AI4" s="240"/>
      <c r="AJ4" s="240"/>
      <c r="AK4" s="240"/>
      <c r="AL4" s="240"/>
      <c r="AM4" s="240"/>
      <c r="AN4" s="240"/>
      <c r="AO4" s="240"/>
      <c r="AP4" s="240"/>
      <c r="AQ4" s="240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</row>
    <row r="5" spans="1:62" ht="10.7" customHeight="1" x14ac:dyDescent="0.2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2"/>
      <c r="W5" s="62"/>
      <c r="X5" s="62"/>
      <c r="Y5" s="62"/>
      <c r="Z5" s="62"/>
      <c r="AA5" s="62"/>
      <c r="AB5" s="240"/>
      <c r="AC5" s="240"/>
      <c r="AD5" s="240"/>
      <c r="AE5" s="240"/>
      <c r="AF5" s="240"/>
      <c r="AG5" s="240"/>
      <c r="AH5" s="240"/>
      <c r="AI5" s="240"/>
      <c r="AJ5" s="240"/>
      <c r="AK5" s="240"/>
      <c r="AL5" s="240"/>
      <c r="AM5" s="240"/>
      <c r="AN5" s="240"/>
      <c r="AO5" s="240"/>
      <c r="AP5" s="240"/>
      <c r="AQ5" s="240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</row>
    <row r="6" spans="1:62" ht="10.7" customHeight="1" x14ac:dyDescent="0.2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2"/>
      <c r="W6" s="62"/>
      <c r="X6" s="62"/>
      <c r="Y6" s="62"/>
      <c r="Z6" s="62"/>
      <c r="AA6" s="62"/>
      <c r="AB6" s="240"/>
      <c r="AC6" s="240"/>
      <c r="AD6" s="240"/>
      <c r="AE6" s="240"/>
      <c r="AF6" s="240"/>
      <c r="AG6" s="240"/>
      <c r="AH6" s="240"/>
      <c r="AI6" s="240"/>
      <c r="AJ6" s="240"/>
      <c r="AK6" s="240"/>
      <c r="AL6" s="240"/>
      <c r="AM6" s="240"/>
      <c r="AN6" s="240"/>
      <c r="AO6" s="240"/>
      <c r="AP6" s="240"/>
      <c r="AQ6" s="240"/>
    </row>
    <row r="7" spans="1:62" ht="10.7" customHeight="1" x14ac:dyDescent="0.2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6"/>
      <c r="U7" s="61"/>
      <c r="V7" s="62"/>
      <c r="W7" s="62"/>
      <c r="X7" s="62"/>
      <c r="Y7" s="62"/>
      <c r="Z7" s="62"/>
      <c r="AA7" s="62"/>
      <c r="AB7" s="240"/>
      <c r="AC7" s="240"/>
      <c r="AD7" s="240"/>
      <c r="AE7" s="240"/>
      <c r="AF7" s="240"/>
      <c r="AG7" s="240"/>
      <c r="AH7" s="240"/>
      <c r="AI7" s="240"/>
      <c r="AJ7" s="240"/>
      <c r="AK7" s="240"/>
      <c r="AL7" s="240"/>
      <c r="AM7" s="240"/>
      <c r="AN7" s="240"/>
      <c r="AO7" s="240"/>
      <c r="AP7" s="240"/>
      <c r="AQ7" s="240"/>
    </row>
    <row r="8" spans="1:62" ht="10.7" customHeight="1" x14ac:dyDescent="0.2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2"/>
      <c r="W8" s="62"/>
      <c r="X8" s="62"/>
      <c r="Y8" s="62"/>
      <c r="Z8" s="62"/>
      <c r="AA8" s="62"/>
      <c r="AB8" s="240"/>
      <c r="AC8" s="240"/>
      <c r="AD8" s="240"/>
      <c r="AE8" s="240"/>
      <c r="AF8" s="240"/>
      <c r="AG8" s="240"/>
      <c r="AH8" s="240"/>
      <c r="AI8" s="240"/>
      <c r="AJ8" s="240"/>
      <c r="AK8" s="240"/>
      <c r="AL8" s="240"/>
      <c r="AM8" s="240"/>
      <c r="AN8" s="240"/>
      <c r="AO8" s="240"/>
      <c r="AP8" s="240"/>
      <c r="AQ8" s="240"/>
    </row>
    <row r="9" spans="1:62" ht="10.7" customHeight="1" x14ac:dyDescent="0.2">
      <c r="A9" s="61"/>
      <c r="B9" s="61"/>
      <c r="C9" s="67"/>
      <c r="D9" s="67"/>
      <c r="E9" s="67"/>
      <c r="F9" s="67"/>
      <c r="G9" s="67"/>
      <c r="H9" s="67"/>
      <c r="I9" s="67"/>
      <c r="J9" s="67"/>
      <c r="K9" s="67"/>
      <c r="L9" s="61"/>
      <c r="M9" s="17"/>
      <c r="N9" s="61"/>
      <c r="O9" s="61"/>
      <c r="P9" s="61"/>
      <c r="Q9" s="61"/>
      <c r="R9" s="61"/>
      <c r="S9" s="61"/>
      <c r="T9" s="61"/>
      <c r="U9" s="61"/>
      <c r="V9" s="62"/>
      <c r="W9" s="62"/>
      <c r="X9" s="62"/>
      <c r="Y9" s="62"/>
      <c r="Z9" s="62"/>
      <c r="AA9" s="62"/>
      <c r="AB9" s="240"/>
      <c r="AC9" s="240"/>
      <c r="AD9" s="240"/>
      <c r="AE9" s="240"/>
      <c r="AF9" s="240"/>
      <c r="AG9" s="240"/>
      <c r="AH9" s="240"/>
      <c r="AI9" s="240"/>
      <c r="AJ9" s="240"/>
      <c r="AK9" s="240"/>
      <c r="AL9" s="240"/>
      <c r="AM9" s="240"/>
      <c r="AN9" s="240"/>
      <c r="AO9" s="240"/>
      <c r="AP9" s="240"/>
      <c r="AQ9" s="240"/>
    </row>
    <row r="10" spans="1:62" ht="10.7" customHeight="1" x14ac:dyDescent="0.2">
      <c r="A10" s="61"/>
      <c r="B10" s="61"/>
      <c r="C10" s="68"/>
      <c r="D10" s="68"/>
      <c r="E10" s="68"/>
      <c r="F10" s="68"/>
      <c r="G10" s="68"/>
      <c r="H10" s="68"/>
      <c r="I10" s="68"/>
      <c r="J10" s="68"/>
      <c r="K10" s="68"/>
      <c r="L10" s="23"/>
      <c r="M10" s="17"/>
      <c r="N10" s="9"/>
      <c r="O10" s="9"/>
      <c r="P10" s="9"/>
      <c r="Q10" s="9"/>
      <c r="R10" s="61"/>
      <c r="S10" s="61"/>
      <c r="T10" s="61"/>
      <c r="U10" s="61"/>
      <c r="V10" s="62"/>
      <c r="W10" s="62"/>
      <c r="X10" s="62"/>
      <c r="Y10" s="62"/>
      <c r="Z10" s="62"/>
      <c r="AA10" s="62"/>
      <c r="AB10" s="240"/>
      <c r="AC10" s="240"/>
      <c r="AD10" s="240"/>
      <c r="AE10" s="240"/>
      <c r="AF10" s="240"/>
      <c r="AG10" s="240"/>
      <c r="AH10" s="240"/>
      <c r="AI10" s="240"/>
      <c r="AJ10" s="240"/>
      <c r="AK10" s="240"/>
      <c r="AL10" s="240"/>
      <c r="AM10" s="240"/>
      <c r="AN10" s="240"/>
      <c r="AO10" s="240"/>
      <c r="AP10" s="240"/>
      <c r="AQ10" s="240"/>
    </row>
    <row r="11" spans="1:62" ht="11.25" customHeight="1" x14ac:dyDescent="0.2">
      <c r="A11" s="18"/>
      <c r="B11" s="18"/>
      <c r="C11" s="68"/>
      <c r="D11" s="68"/>
      <c r="E11" s="68"/>
      <c r="F11" s="68"/>
      <c r="G11" s="68"/>
      <c r="H11" s="68"/>
      <c r="I11" s="68"/>
      <c r="J11" s="68"/>
      <c r="K11" s="68"/>
      <c r="L11" s="17"/>
      <c r="M11" s="17"/>
      <c r="N11" s="17"/>
      <c r="O11" s="17"/>
      <c r="P11" s="17"/>
      <c r="Q11" s="9"/>
      <c r="R11" s="61"/>
      <c r="S11" s="9"/>
      <c r="T11" s="9"/>
      <c r="U11" s="61"/>
      <c r="V11" s="61"/>
      <c r="W11" s="61"/>
      <c r="X11" s="61"/>
      <c r="Y11" s="61"/>
      <c r="Z11" s="62"/>
      <c r="AA11" s="62"/>
      <c r="AB11" s="240"/>
      <c r="AC11" s="240"/>
      <c r="AD11" s="240"/>
      <c r="AE11" s="240"/>
      <c r="AF11" s="240"/>
      <c r="AG11" s="240"/>
      <c r="AH11" s="240"/>
      <c r="AI11" s="240"/>
      <c r="AJ11" s="240"/>
      <c r="AK11" s="240"/>
      <c r="AL11" s="240"/>
      <c r="AM11" s="240"/>
      <c r="AN11" s="240"/>
      <c r="AO11" s="240"/>
      <c r="AP11" s="240"/>
      <c r="AQ11" s="240"/>
    </row>
    <row r="12" spans="1:62" ht="11.25" customHeight="1" x14ac:dyDescent="0.2">
      <c r="A12" s="44"/>
      <c r="B12" s="18"/>
      <c r="C12" s="18"/>
      <c r="D12" s="18"/>
      <c r="E12" s="69"/>
      <c r="F12" s="18"/>
      <c r="G12" s="18"/>
      <c r="H12" s="18"/>
      <c r="I12" s="69"/>
      <c r="J12" s="18"/>
      <c r="K12" s="70"/>
      <c r="L12" s="71"/>
      <c r="M12" s="17"/>
      <c r="N12" s="30"/>
      <c r="O12" s="71"/>
      <c r="P12" s="17"/>
      <c r="Q12" s="9"/>
      <c r="R12" s="9"/>
      <c r="S12" s="9"/>
      <c r="T12" s="9"/>
      <c r="U12" s="61"/>
      <c r="V12" s="61"/>
      <c r="W12" s="61"/>
      <c r="X12" s="61"/>
      <c r="Y12" s="62"/>
      <c r="Z12" s="62"/>
      <c r="AA12" s="62"/>
      <c r="AB12" s="240"/>
      <c r="AC12" s="240"/>
      <c r="AD12" s="240"/>
      <c r="AE12" s="240"/>
      <c r="AF12" s="240"/>
      <c r="AG12" s="240"/>
      <c r="AH12" s="240"/>
      <c r="AI12" s="240"/>
      <c r="AJ12" s="240"/>
      <c r="AK12" s="240"/>
      <c r="AL12" s="240"/>
      <c r="AM12" s="240"/>
      <c r="AN12" s="240"/>
      <c r="AO12" s="240"/>
      <c r="AP12" s="240"/>
      <c r="AQ12" s="240"/>
    </row>
    <row r="13" spans="1:62" ht="11.25" customHeight="1" x14ac:dyDescent="0.2">
      <c r="A13" s="44"/>
      <c r="B13" s="18"/>
      <c r="C13" s="18"/>
      <c r="D13" s="18"/>
      <c r="E13" s="69"/>
      <c r="F13" s="18"/>
      <c r="G13" s="18"/>
      <c r="H13" s="18"/>
      <c r="I13" s="69"/>
      <c r="J13" s="18"/>
      <c r="K13" s="70"/>
      <c r="L13" s="71"/>
      <c r="M13" s="58"/>
      <c r="N13" s="30"/>
      <c r="O13" s="71"/>
      <c r="P13" s="58"/>
      <c r="Q13" s="72"/>
      <c r="R13" s="58"/>
      <c r="S13" s="9"/>
      <c r="T13" s="9"/>
      <c r="U13" s="61"/>
      <c r="V13" s="61"/>
      <c r="W13" s="61"/>
      <c r="X13" s="61"/>
      <c r="Y13" s="62"/>
      <c r="Z13" s="62"/>
      <c r="AA13" s="62"/>
      <c r="AB13" s="240"/>
      <c r="AC13" s="240"/>
      <c r="AD13" s="240"/>
      <c r="AE13" s="240"/>
      <c r="AF13" s="240"/>
      <c r="AG13" s="240"/>
      <c r="AH13" s="240"/>
      <c r="AI13" s="240"/>
      <c r="AJ13" s="240"/>
      <c r="AK13" s="240"/>
      <c r="AL13" s="240"/>
      <c r="AM13" s="240"/>
      <c r="AN13" s="240"/>
      <c r="AO13" s="240"/>
      <c r="AP13" s="240"/>
      <c r="AQ13" s="240"/>
    </row>
    <row r="14" spans="1:62" ht="11.25" customHeight="1" x14ac:dyDescent="0.2">
      <c r="A14" s="44"/>
      <c r="B14" s="18"/>
      <c r="C14" s="18"/>
      <c r="D14" s="18"/>
      <c r="E14" s="69"/>
      <c r="F14" s="18"/>
      <c r="G14" s="18"/>
      <c r="H14" s="18"/>
      <c r="I14" s="69"/>
      <c r="J14" s="18"/>
      <c r="K14" s="70"/>
      <c r="L14" s="71"/>
      <c r="M14" s="73"/>
      <c r="N14" s="30"/>
      <c r="O14" s="71"/>
      <c r="P14" s="73"/>
      <c r="Q14" s="58"/>
      <c r="R14" s="73"/>
      <c r="S14" s="17"/>
      <c r="T14" s="17"/>
      <c r="U14" s="17"/>
      <c r="V14" s="61"/>
      <c r="W14" s="61"/>
      <c r="X14" s="61"/>
      <c r="Y14" s="62"/>
      <c r="Z14" s="62"/>
      <c r="AA14" s="62"/>
      <c r="AB14" s="240"/>
      <c r="AC14" s="240"/>
      <c r="AD14" s="240"/>
      <c r="AE14" s="240"/>
      <c r="AF14" s="240"/>
      <c r="AG14" s="240"/>
      <c r="AH14" s="240"/>
      <c r="AI14" s="240"/>
      <c r="AJ14" s="240"/>
      <c r="AK14" s="240"/>
      <c r="AL14" s="240"/>
      <c r="AM14" s="240"/>
      <c r="AN14" s="240"/>
      <c r="AO14" s="240"/>
      <c r="AP14" s="240"/>
      <c r="AQ14" s="240"/>
    </row>
    <row r="15" spans="1:62" ht="11.25" customHeight="1" x14ac:dyDescent="0.2">
      <c r="A15" s="44"/>
      <c r="B15" s="18"/>
      <c r="C15" s="18"/>
      <c r="D15" s="18"/>
      <c r="E15" s="69"/>
      <c r="F15" s="18"/>
      <c r="G15" s="18"/>
      <c r="H15" s="18"/>
      <c r="I15" s="69"/>
      <c r="J15" s="18"/>
      <c r="K15" s="70"/>
      <c r="L15" s="71"/>
      <c r="M15" s="58"/>
      <c r="N15" s="30"/>
      <c r="O15" s="71"/>
      <c r="P15" s="58"/>
      <c r="Q15" s="30"/>
      <c r="R15" s="58"/>
      <c r="S15" s="18"/>
      <c r="T15" s="18"/>
      <c r="U15" s="18"/>
      <c r="V15" s="18"/>
      <c r="W15" s="61"/>
      <c r="X15" s="61"/>
      <c r="Y15" s="62"/>
      <c r="Z15" s="62"/>
      <c r="AA15" s="62"/>
      <c r="AB15" s="240"/>
      <c r="AC15" s="240"/>
      <c r="AD15" s="240"/>
      <c r="AE15" s="240"/>
      <c r="AF15" s="240"/>
      <c r="AG15" s="240"/>
      <c r="AH15" s="240"/>
      <c r="AI15" s="240"/>
      <c r="AJ15" s="240"/>
      <c r="AK15" s="240"/>
      <c r="AL15" s="240"/>
      <c r="AM15" s="240"/>
      <c r="AN15" s="240"/>
      <c r="AO15" s="240"/>
      <c r="AP15" s="240"/>
      <c r="AQ15" s="240"/>
    </row>
    <row r="16" spans="1:62" ht="11.25" customHeight="1" x14ac:dyDescent="0.2">
      <c r="A16" s="44"/>
      <c r="B16" s="18"/>
      <c r="C16" s="18"/>
      <c r="D16" s="18"/>
      <c r="E16" s="69"/>
      <c r="F16" s="18"/>
      <c r="G16" s="18"/>
      <c r="H16" s="18"/>
      <c r="I16" s="69"/>
      <c r="J16" s="18"/>
      <c r="K16" s="70"/>
      <c r="L16" s="71"/>
      <c r="M16" s="58"/>
      <c r="N16" s="30"/>
      <c r="O16" s="71"/>
      <c r="P16" s="58"/>
      <c r="Q16" s="58"/>
      <c r="R16" s="58"/>
      <c r="S16" s="18"/>
      <c r="T16" s="18"/>
      <c r="U16" s="18"/>
      <c r="V16" s="18"/>
      <c r="W16" s="61"/>
      <c r="X16" s="61"/>
      <c r="Y16" s="62"/>
      <c r="Z16" s="62"/>
      <c r="AA16" s="62"/>
      <c r="AB16" s="240"/>
      <c r="AC16" s="240"/>
      <c r="AD16" s="240"/>
      <c r="AE16" s="240"/>
      <c r="AF16" s="240"/>
      <c r="AG16" s="240"/>
      <c r="AH16" s="240"/>
      <c r="AI16" s="240"/>
      <c r="AJ16" s="240"/>
      <c r="AK16" s="240"/>
      <c r="AL16" s="240"/>
      <c r="AM16" s="240"/>
      <c r="AN16" s="240"/>
      <c r="AO16" s="240"/>
      <c r="AP16" s="240"/>
      <c r="AQ16" s="240"/>
    </row>
    <row r="17" spans="1:62" ht="11.25" customHeight="1" x14ac:dyDescent="0.2">
      <c r="A17" s="44"/>
      <c r="B17" s="18"/>
      <c r="C17" s="18"/>
      <c r="D17" s="18"/>
      <c r="E17" s="69"/>
      <c r="F17" s="18"/>
      <c r="G17" s="18"/>
      <c r="H17" s="18"/>
      <c r="I17" s="69"/>
      <c r="J17" s="18"/>
      <c r="K17" s="70"/>
      <c r="L17" s="71"/>
      <c r="M17" s="58"/>
      <c r="N17" s="30"/>
      <c r="O17" s="71"/>
      <c r="P17" s="58"/>
      <c r="Q17" s="18"/>
      <c r="R17" s="18"/>
      <c r="S17" s="18"/>
      <c r="T17" s="18"/>
      <c r="U17" s="18"/>
      <c r="V17" s="17"/>
      <c r="W17" s="61"/>
      <c r="X17" s="61"/>
      <c r="Y17" s="62"/>
      <c r="Z17" s="62"/>
      <c r="AA17" s="62"/>
      <c r="AB17" s="240"/>
      <c r="AC17" s="240"/>
      <c r="AD17" s="240"/>
      <c r="AE17" s="240"/>
      <c r="AF17" s="240"/>
      <c r="AG17" s="240"/>
      <c r="AH17" s="240"/>
      <c r="AI17" s="240"/>
      <c r="AJ17" s="240"/>
      <c r="AK17" s="240"/>
      <c r="AL17" s="240"/>
      <c r="AM17" s="240"/>
      <c r="AN17" s="240"/>
      <c r="AO17" s="240"/>
      <c r="AP17" s="240"/>
      <c r="AQ17" s="240"/>
    </row>
    <row r="18" spans="1:62" ht="11.25" customHeight="1" x14ac:dyDescent="0.2">
      <c r="A18" s="44"/>
      <c r="B18" s="18"/>
      <c r="C18" s="18"/>
      <c r="D18" s="18"/>
      <c r="E18" s="69"/>
      <c r="F18" s="18"/>
      <c r="G18" s="18"/>
      <c r="H18" s="18"/>
      <c r="I18" s="69"/>
      <c r="J18" s="18"/>
      <c r="K18" s="70"/>
      <c r="L18" s="71"/>
      <c r="M18" s="58"/>
      <c r="N18" s="30"/>
      <c r="O18" s="71"/>
      <c r="P18" s="58"/>
      <c r="Q18" s="18"/>
      <c r="R18" s="18"/>
      <c r="S18" s="18"/>
      <c r="T18" s="18"/>
      <c r="U18" s="17"/>
      <c r="V18" s="18"/>
      <c r="W18" s="61"/>
      <c r="X18" s="61"/>
      <c r="Y18" s="62"/>
      <c r="Z18" s="62"/>
      <c r="AA18" s="62"/>
      <c r="AB18" s="240"/>
      <c r="AC18" s="240"/>
      <c r="AD18" s="240"/>
      <c r="AE18" s="240"/>
      <c r="AF18" s="240"/>
      <c r="AG18" s="240"/>
      <c r="AH18" s="240"/>
      <c r="AI18" s="240"/>
      <c r="AJ18" s="240"/>
      <c r="AK18" s="240"/>
      <c r="AL18" s="240"/>
      <c r="AM18" s="240"/>
      <c r="AN18" s="240"/>
      <c r="AO18" s="240"/>
      <c r="AP18" s="240"/>
      <c r="AQ18" s="240"/>
    </row>
    <row r="19" spans="1:62" ht="11.25" customHeight="1" x14ac:dyDescent="0.2">
      <c r="A19" s="44"/>
      <c r="B19" s="18"/>
      <c r="C19" s="18"/>
      <c r="D19" s="18"/>
      <c r="E19" s="69"/>
      <c r="F19" s="18"/>
      <c r="G19" s="18"/>
      <c r="H19" s="18"/>
      <c r="I19" s="69"/>
      <c r="J19" s="18"/>
      <c r="K19" s="70"/>
      <c r="L19" s="61"/>
      <c r="M19" s="61"/>
      <c r="N19" s="61"/>
      <c r="O19" s="61"/>
      <c r="P19" s="61"/>
      <c r="Q19" s="18"/>
      <c r="R19" s="18"/>
      <c r="S19" s="18"/>
      <c r="T19" s="18"/>
      <c r="U19" s="17"/>
      <c r="V19" s="18"/>
      <c r="W19" s="61"/>
      <c r="X19" s="61"/>
      <c r="Y19" s="62"/>
      <c r="Z19" s="62"/>
      <c r="AA19" s="62"/>
      <c r="AB19" s="240"/>
      <c r="AC19" s="240"/>
      <c r="AD19" s="240"/>
      <c r="AE19" s="240"/>
      <c r="AF19" s="240"/>
      <c r="AG19" s="240"/>
      <c r="AH19" s="240"/>
      <c r="AI19" s="240"/>
      <c r="AJ19" s="240"/>
      <c r="AK19" s="240"/>
      <c r="AL19" s="240"/>
      <c r="AM19" s="240"/>
      <c r="AN19" s="240"/>
      <c r="AO19" s="240"/>
      <c r="AP19" s="240"/>
      <c r="AQ19" s="240"/>
    </row>
    <row r="20" spans="1:62" ht="11.25" customHeight="1" x14ac:dyDescent="0.2">
      <c r="A20" s="44"/>
      <c r="B20" s="18"/>
      <c r="C20" s="18"/>
      <c r="D20" s="18"/>
      <c r="E20" s="69"/>
      <c r="F20" s="18"/>
      <c r="G20" s="18"/>
      <c r="H20" s="18"/>
      <c r="I20" s="69"/>
      <c r="J20" s="18"/>
      <c r="K20" s="70"/>
      <c r="L20" s="17"/>
      <c r="M20" s="18"/>
      <c r="N20" s="18"/>
      <c r="O20" s="17"/>
      <c r="P20" s="18"/>
      <c r="Q20" s="18"/>
      <c r="R20" s="18"/>
      <c r="S20" s="18"/>
      <c r="T20" s="18"/>
      <c r="U20" s="17"/>
      <c r="V20" s="18"/>
      <c r="W20" s="61"/>
      <c r="X20" s="61"/>
      <c r="Y20" s="62"/>
      <c r="Z20" s="62"/>
      <c r="AA20" s="62"/>
      <c r="AB20" s="240"/>
      <c r="AC20" s="240"/>
      <c r="AD20" s="240"/>
      <c r="AE20" s="240"/>
      <c r="AF20" s="240"/>
      <c r="AG20" s="240"/>
      <c r="AH20" s="240"/>
      <c r="AI20" s="240"/>
      <c r="AJ20" s="240"/>
      <c r="AK20" s="240"/>
      <c r="AL20" s="240"/>
      <c r="AM20" s="240"/>
      <c r="AN20" s="240"/>
      <c r="AO20" s="240"/>
      <c r="AP20" s="240"/>
      <c r="AQ20" s="240"/>
    </row>
    <row r="21" spans="1:62" ht="11.25" customHeight="1" x14ac:dyDescent="0.2">
      <c r="A21" s="44"/>
      <c r="B21" s="18"/>
      <c r="C21" s="18"/>
      <c r="D21" s="18"/>
      <c r="E21" s="69"/>
      <c r="F21" s="18"/>
      <c r="G21" s="18"/>
      <c r="H21" s="18"/>
      <c r="I21" s="69"/>
      <c r="J21" s="18"/>
      <c r="K21" s="70"/>
      <c r="L21" s="71"/>
      <c r="M21" s="18"/>
      <c r="N21" s="30"/>
      <c r="O21" s="71"/>
      <c r="P21" s="18"/>
      <c r="Q21" s="18"/>
      <c r="R21" s="18"/>
      <c r="S21" s="18"/>
      <c r="T21" s="18"/>
      <c r="U21" s="18"/>
      <c r="V21" s="18"/>
      <c r="W21" s="61"/>
      <c r="X21" s="61"/>
      <c r="Y21" s="62"/>
      <c r="Z21" s="62"/>
      <c r="AA21" s="62"/>
      <c r="AB21" s="240"/>
      <c r="AC21" s="240"/>
      <c r="AD21" s="240"/>
      <c r="AE21" s="240"/>
      <c r="AF21" s="240"/>
      <c r="AG21" s="240"/>
      <c r="AH21" s="240"/>
      <c r="AI21" s="240"/>
      <c r="AJ21" s="240"/>
      <c r="AK21" s="240"/>
      <c r="AL21" s="240"/>
      <c r="AM21" s="240"/>
      <c r="AN21" s="240"/>
      <c r="AO21" s="240"/>
      <c r="AP21" s="240"/>
      <c r="AQ21" s="240"/>
    </row>
    <row r="22" spans="1:62" ht="11.25" customHeight="1" x14ac:dyDescent="0.2">
      <c r="A22" s="44"/>
      <c r="B22" s="18"/>
      <c r="C22" s="18"/>
      <c r="D22" s="18"/>
      <c r="E22" s="69"/>
      <c r="F22" s="18"/>
      <c r="G22" s="18"/>
      <c r="H22" s="18"/>
      <c r="I22" s="69"/>
      <c r="J22" s="18"/>
      <c r="K22" s="70"/>
      <c r="L22" s="71"/>
      <c r="M22" s="18"/>
      <c r="N22" s="30"/>
      <c r="O22" s="71"/>
      <c r="P22" s="18"/>
      <c r="Q22" s="18"/>
      <c r="R22" s="18"/>
      <c r="S22" s="18"/>
      <c r="T22" s="18"/>
      <c r="U22" s="18"/>
      <c r="V22" s="18"/>
      <c r="W22" s="61"/>
      <c r="X22" s="61"/>
      <c r="Y22" s="62"/>
      <c r="Z22" s="62"/>
      <c r="AA22" s="62"/>
      <c r="AB22" s="240"/>
      <c r="AC22" s="240"/>
      <c r="AD22" s="240"/>
      <c r="AE22" s="240"/>
      <c r="AF22" s="240"/>
      <c r="AG22" s="240"/>
      <c r="AH22" s="240"/>
      <c r="AI22" s="240"/>
      <c r="AJ22" s="240"/>
      <c r="AK22" s="240"/>
      <c r="AL22" s="240"/>
      <c r="AM22" s="240"/>
      <c r="AN22" s="240"/>
      <c r="AO22" s="240"/>
      <c r="AP22" s="240"/>
      <c r="AQ22" s="240"/>
    </row>
    <row r="23" spans="1:62" ht="11.25" customHeight="1" x14ac:dyDescent="0.2">
      <c r="A23" s="44"/>
      <c r="B23" s="18"/>
      <c r="C23" s="18"/>
      <c r="D23" s="18"/>
      <c r="E23" s="69"/>
      <c r="F23" s="18"/>
      <c r="G23" s="18"/>
      <c r="H23" s="18"/>
      <c r="I23" s="69"/>
      <c r="J23" s="18"/>
      <c r="K23" s="70"/>
      <c r="L23" s="71"/>
      <c r="M23" s="18"/>
      <c r="N23" s="30"/>
      <c r="O23" s="71"/>
      <c r="P23" s="18"/>
      <c r="Q23" s="18"/>
      <c r="R23" s="18"/>
      <c r="S23" s="18"/>
      <c r="T23" s="18"/>
      <c r="U23" s="18"/>
      <c r="V23" s="18"/>
      <c r="W23" s="61"/>
      <c r="X23" s="61"/>
      <c r="Y23" s="62"/>
      <c r="Z23" s="62"/>
      <c r="AA23" s="62"/>
      <c r="AB23" s="240"/>
      <c r="AC23" s="240"/>
      <c r="AD23" s="240"/>
      <c r="AE23" s="240"/>
      <c r="AF23" s="240"/>
      <c r="AG23" s="240"/>
      <c r="AH23" s="240"/>
      <c r="AI23" s="240"/>
      <c r="AJ23" s="240"/>
      <c r="AK23" s="240"/>
      <c r="AL23" s="240"/>
      <c r="AM23" s="240"/>
      <c r="AN23" s="240"/>
      <c r="AO23" s="240"/>
      <c r="AP23" s="240"/>
      <c r="AQ23" s="240"/>
    </row>
    <row r="24" spans="1:62" ht="11.25" customHeight="1" x14ac:dyDescent="0.2">
      <c r="A24" s="44"/>
      <c r="B24" s="18"/>
      <c r="C24" s="18"/>
      <c r="D24" s="18"/>
      <c r="E24" s="69"/>
      <c r="F24" s="18"/>
      <c r="G24" s="18"/>
      <c r="H24" s="18"/>
      <c r="I24" s="69"/>
      <c r="J24" s="18"/>
      <c r="K24" s="70"/>
      <c r="L24" s="71"/>
      <c r="M24" s="18"/>
      <c r="N24" s="30"/>
      <c r="O24" s="71"/>
      <c r="P24" s="18"/>
      <c r="Q24" s="18"/>
      <c r="R24" s="18"/>
      <c r="S24" s="18"/>
      <c r="T24" s="18"/>
      <c r="U24" s="18"/>
      <c r="V24" s="18"/>
      <c r="W24" s="61"/>
      <c r="X24" s="61"/>
      <c r="Y24" s="62"/>
      <c r="Z24" s="62"/>
      <c r="AA24" s="62"/>
      <c r="AB24" s="240"/>
      <c r="AC24" s="240"/>
      <c r="AD24" s="240"/>
      <c r="AE24" s="240"/>
      <c r="AF24" s="240"/>
      <c r="AG24" s="240"/>
      <c r="AH24" s="240"/>
      <c r="AI24" s="240"/>
      <c r="AJ24" s="240"/>
      <c r="AK24" s="240"/>
      <c r="AL24" s="240"/>
      <c r="AM24" s="240"/>
      <c r="AN24" s="240"/>
      <c r="AO24" s="240"/>
      <c r="AP24" s="240"/>
      <c r="AQ24" s="240"/>
    </row>
    <row r="25" spans="1:62" ht="11.25" customHeight="1" x14ac:dyDescent="0.2">
      <c r="A25" s="44"/>
      <c r="B25" s="18"/>
      <c r="C25" s="18"/>
      <c r="D25" s="18"/>
      <c r="E25" s="69"/>
      <c r="F25" s="18"/>
      <c r="G25" s="18"/>
      <c r="H25" s="18"/>
      <c r="I25" s="69"/>
      <c r="J25" s="18"/>
      <c r="K25" s="70"/>
      <c r="L25" s="71"/>
      <c r="M25" s="18"/>
      <c r="N25" s="30"/>
      <c r="O25" s="71"/>
      <c r="P25" s="18"/>
      <c r="Q25" s="18"/>
      <c r="R25" s="18"/>
      <c r="S25" s="18"/>
      <c r="T25" s="18"/>
      <c r="U25" s="18"/>
      <c r="V25" s="18"/>
      <c r="W25" s="61"/>
      <c r="X25" s="61"/>
      <c r="Y25" s="62"/>
      <c r="Z25" s="62"/>
      <c r="AA25" s="62"/>
      <c r="AB25" s="240"/>
      <c r="AC25" s="240"/>
      <c r="AD25" s="240"/>
      <c r="AE25" s="240"/>
      <c r="AF25" s="240"/>
      <c r="AG25" s="240"/>
      <c r="AH25" s="240"/>
      <c r="AI25" s="240"/>
      <c r="AJ25" s="240"/>
      <c r="AK25" s="240"/>
      <c r="AL25" s="240"/>
      <c r="AM25" s="240"/>
      <c r="AN25" s="240"/>
      <c r="AO25" s="240"/>
      <c r="AP25" s="240"/>
      <c r="AQ25" s="240"/>
    </row>
    <row r="26" spans="1:62" ht="11.25" customHeight="1" x14ac:dyDescent="0.2">
      <c r="A26" s="44"/>
      <c r="B26" s="18"/>
      <c r="C26" s="18"/>
      <c r="D26" s="18"/>
      <c r="E26" s="69"/>
      <c r="F26" s="18"/>
      <c r="G26" s="18"/>
      <c r="H26" s="18"/>
      <c r="I26" s="69"/>
      <c r="J26" s="18"/>
      <c r="K26" s="70"/>
      <c r="L26" s="71"/>
      <c r="M26" s="18"/>
      <c r="N26" s="30"/>
      <c r="O26" s="71"/>
      <c r="P26" s="18"/>
      <c r="Q26" s="18"/>
      <c r="R26" s="18"/>
      <c r="S26" s="18"/>
      <c r="T26" s="18"/>
      <c r="U26" s="18"/>
      <c r="V26" s="18"/>
      <c r="W26" s="61"/>
      <c r="X26" s="61"/>
      <c r="Y26" s="62"/>
      <c r="Z26" s="62"/>
      <c r="AA26" s="62"/>
      <c r="AB26" s="240"/>
      <c r="AC26" s="240"/>
      <c r="AD26" s="240"/>
      <c r="AE26" s="240"/>
      <c r="AF26" s="240"/>
      <c r="AG26" s="240"/>
      <c r="AH26" s="240"/>
      <c r="AI26" s="240"/>
      <c r="AJ26" s="240"/>
      <c r="AK26" s="240"/>
      <c r="AL26" s="240"/>
      <c r="AM26" s="240"/>
      <c r="AN26" s="240"/>
      <c r="AO26" s="240"/>
      <c r="AP26" s="240"/>
      <c r="AQ26" s="240"/>
    </row>
    <row r="27" spans="1:62" ht="11.25" customHeight="1" x14ac:dyDescent="0.2">
      <c r="A27" s="44"/>
      <c r="B27" s="18"/>
      <c r="C27" s="18"/>
      <c r="D27" s="18"/>
      <c r="E27" s="69"/>
      <c r="F27" s="18"/>
      <c r="G27" s="18"/>
      <c r="H27" s="18"/>
      <c r="I27" s="69"/>
      <c r="J27" s="18"/>
      <c r="K27" s="70"/>
      <c r="L27" s="71"/>
      <c r="M27" s="18"/>
      <c r="N27" s="30"/>
      <c r="O27" s="71"/>
      <c r="P27" s="18"/>
      <c r="Q27" s="18"/>
      <c r="R27" s="18"/>
      <c r="S27" s="18"/>
      <c r="T27" s="18"/>
      <c r="U27" s="18"/>
      <c r="V27" s="18"/>
      <c r="W27" s="61"/>
      <c r="X27" s="61"/>
      <c r="Y27" s="62"/>
      <c r="Z27" s="62"/>
      <c r="AA27" s="62"/>
      <c r="AB27" s="240"/>
      <c r="AC27" s="240"/>
      <c r="AD27" s="240"/>
      <c r="AE27" s="240"/>
      <c r="AF27" s="240"/>
      <c r="AG27" s="240"/>
      <c r="AH27" s="240"/>
      <c r="AI27" s="240"/>
      <c r="AJ27" s="240"/>
      <c r="AK27" s="240"/>
      <c r="AL27" s="240"/>
      <c r="AM27" s="240"/>
      <c r="AN27" s="240"/>
      <c r="AO27" s="240"/>
      <c r="AP27" s="240"/>
      <c r="AQ27" s="240"/>
    </row>
    <row r="28" spans="1:62" ht="11.25" customHeight="1" thickBot="1" x14ac:dyDescent="0.25">
      <c r="A28" s="44"/>
      <c r="B28" s="18"/>
      <c r="C28" s="18"/>
      <c r="D28" s="18"/>
      <c r="E28" s="69"/>
      <c r="F28" s="18"/>
      <c r="G28" s="18"/>
      <c r="H28" s="18"/>
      <c r="I28" s="69"/>
      <c r="J28" s="18"/>
      <c r="K28" s="70"/>
      <c r="L28" s="9"/>
      <c r="M28" s="9"/>
      <c r="N28" s="9"/>
      <c r="O28" s="9"/>
      <c r="P28" s="9"/>
      <c r="Q28" s="18"/>
      <c r="R28" s="18"/>
      <c r="S28" s="18"/>
      <c r="T28" s="18"/>
      <c r="U28" s="18"/>
      <c r="V28" s="18"/>
      <c r="W28" s="9"/>
      <c r="X28" s="61"/>
      <c r="Y28" s="62"/>
      <c r="Z28" s="62"/>
      <c r="AA28" s="62"/>
      <c r="AB28" s="240"/>
      <c r="AC28" s="240"/>
      <c r="AD28" s="240"/>
      <c r="AE28" s="240"/>
      <c r="AF28" s="240"/>
      <c r="AG28" s="240"/>
      <c r="AH28" s="240"/>
      <c r="AI28" s="240"/>
      <c r="AJ28" s="240"/>
      <c r="AK28" s="240"/>
      <c r="AL28" s="240"/>
      <c r="AM28" s="240"/>
      <c r="AN28" s="240"/>
      <c r="AO28" s="240"/>
      <c r="AP28" s="240"/>
      <c r="AQ28" s="240"/>
    </row>
    <row r="29" spans="1:62" ht="11.25" customHeight="1" x14ac:dyDescent="0.2">
      <c r="A29" s="24"/>
      <c r="B29" s="288">
        <v>1</v>
      </c>
      <c r="C29" s="74"/>
      <c r="D29" s="75"/>
      <c r="E29" s="74"/>
      <c r="F29" s="75"/>
      <c r="G29" s="76"/>
      <c r="H29" s="289">
        <v>2</v>
      </c>
      <c r="I29" s="268"/>
      <c r="J29" s="269"/>
      <c r="K29" s="77"/>
      <c r="L29" s="78"/>
      <c r="M29" s="78"/>
      <c r="N29" s="287">
        <v>1</v>
      </c>
      <c r="O29" s="270"/>
      <c r="P29" s="271"/>
      <c r="Q29" s="79"/>
      <c r="R29" s="80"/>
      <c r="S29" s="76"/>
      <c r="T29" s="288">
        <v>2</v>
      </c>
      <c r="U29" s="74"/>
      <c r="V29" s="75"/>
      <c r="W29" s="74"/>
      <c r="X29" s="74"/>
      <c r="Y29" s="257"/>
      <c r="Z29" s="62"/>
      <c r="AA29" s="62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/>
      <c r="AL29" s="240"/>
      <c r="AM29" s="240"/>
      <c r="AN29" s="240"/>
      <c r="AO29" s="240"/>
      <c r="AP29" s="240"/>
      <c r="AQ29" s="240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</row>
    <row r="30" spans="1:62" ht="11.25" customHeight="1" x14ac:dyDescent="0.2">
      <c r="A30" s="24"/>
      <c r="B30" s="401">
        <v>42779</v>
      </c>
      <c r="C30" s="402"/>
      <c r="D30" s="403"/>
      <c r="E30" s="81"/>
      <c r="F30" s="82"/>
      <c r="G30" s="83"/>
      <c r="H30" s="407">
        <v>42778</v>
      </c>
      <c r="I30" s="408"/>
      <c r="J30" s="409"/>
      <c r="K30" s="84"/>
      <c r="L30" s="85"/>
      <c r="M30" s="86"/>
      <c r="N30" s="413">
        <v>42784</v>
      </c>
      <c r="O30" s="414"/>
      <c r="P30" s="415"/>
      <c r="Q30" s="87"/>
      <c r="R30" s="88"/>
      <c r="S30" s="83"/>
      <c r="T30" s="401">
        <v>42782</v>
      </c>
      <c r="U30" s="402"/>
      <c r="V30" s="403"/>
      <c r="W30" s="81"/>
      <c r="X30" s="81"/>
      <c r="Y30" s="258"/>
      <c r="Z30" s="62"/>
      <c r="AA30" s="62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/>
      <c r="AL30" s="240"/>
      <c r="AM30" s="240"/>
      <c r="AN30" s="240"/>
      <c r="AO30" s="240"/>
      <c r="AP30" s="240"/>
      <c r="AQ30" s="240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</row>
    <row r="31" spans="1:62" ht="11.25" customHeight="1" thickBot="1" x14ac:dyDescent="0.25">
      <c r="A31" s="24"/>
      <c r="B31" s="404"/>
      <c r="C31" s="405"/>
      <c r="D31" s="406"/>
      <c r="E31" s="252"/>
      <c r="F31" s="245"/>
      <c r="G31" s="89"/>
      <c r="H31" s="410"/>
      <c r="I31" s="411"/>
      <c r="J31" s="412"/>
      <c r="K31" s="253"/>
      <c r="L31" s="246"/>
      <c r="M31" s="254" t="s">
        <v>8</v>
      </c>
      <c r="N31" s="416"/>
      <c r="O31" s="417"/>
      <c r="P31" s="418"/>
      <c r="Q31" s="255"/>
      <c r="R31" s="256"/>
      <c r="S31" s="89"/>
      <c r="T31" s="404"/>
      <c r="U31" s="405"/>
      <c r="V31" s="406"/>
      <c r="W31" s="252"/>
      <c r="X31" s="252"/>
      <c r="Y31" s="259" t="s">
        <v>8</v>
      </c>
      <c r="Z31" s="62"/>
      <c r="AA31" s="62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/>
      <c r="AL31" s="240"/>
      <c r="AM31" s="240"/>
      <c r="AN31" s="240"/>
      <c r="AO31" s="240"/>
      <c r="AP31" s="240"/>
      <c r="AQ31" s="240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</row>
    <row r="32" spans="1:62" ht="27.75" customHeight="1" x14ac:dyDescent="0.2">
      <c r="A32" s="24"/>
      <c r="B32" s="243"/>
      <c r="C32" s="244" t="s">
        <v>4</v>
      </c>
      <c r="D32" s="244" t="s">
        <v>20</v>
      </c>
      <c r="E32" s="261"/>
      <c r="F32" s="262" t="s">
        <v>17</v>
      </c>
      <c r="G32" s="263" t="s">
        <v>9</v>
      </c>
      <c r="H32" s="264"/>
      <c r="I32" s="235" t="s">
        <v>4</v>
      </c>
      <c r="J32" s="235" t="s">
        <v>20</v>
      </c>
      <c r="K32" s="235"/>
      <c r="L32" s="235" t="s">
        <v>17</v>
      </c>
      <c r="M32" s="237" t="s">
        <v>10</v>
      </c>
      <c r="N32" s="247"/>
      <c r="O32" s="164" t="s">
        <v>4</v>
      </c>
      <c r="P32" s="164" t="s">
        <v>20</v>
      </c>
      <c r="Q32" s="164"/>
      <c r="R32" s="248" t="s">
        <v>17</v>
      </c>
      <c r="S32" s="90" t="s">
        <v>11</v>
      </c>
      <c r="T32" s="249"/>
      <c r="U32" s="244" t="s">
        <v>4</v>
      </c>
      <c r="V32" s="250" t="s">
        <v>20</v>
      </c>
      <c r="W32" s="244"/>
      <c r="X32" s="244" t="s">
        <v>17</v>
      </c>
      <c r="Y32" s="251" t="s">
        <v>10</v>
      </c>
      <c r="Z32" s="62"/>
      <c r="AA32" s="62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/>
      <c r="AL32" s="240"/>
      <c r="AM32" s="240"/>
      <c r="AN32" s="240"/>
      <c r="AO32" s="240"/>
      <c r="AP32" s="240"/>
      <c r="AQ32" s="240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</row>
    <row r="33" spans="1:62" ht="11.25" customHeight="1" x14ac:dyDescent="0.2">
      <c r="A33" s="44"/>
      <c r="B33" s="91">
        <v>7</v>
      </c>
      <c r="C33" s="92"/>
      <c r="D33" s="92"/>
      <c r="E33" s="93"/>
      <c r="F33" s="94"/>
      <c r="G33" s="95">
        <f>(F33-L33)</f>
        <v>0</v>
      </c>
      <c r="H33" s="236">
        <v>7</v>
      </c>
      <c r="I33" s="236"/>
      <c r="J33" s="236"/>
      <c r="K33" s="96"/>
      <c r="L33" s="97"/>
      <c r="M33" s="98" t="e">
        <f>G33/L33*100</f>
        <v>#DIV/0!</v>
      </c>
      <c r="N33" s="99">
        <v>7</v>
      </c>
      <c r="O33" s="100"/>
      <c r="P33" s="100"/>
      <c r="Q33" s="101"/>
      <c r="R33" s="102"/>
      <c r="S33" s="103">
        <f>ABS(R33-X33)</f>
        <v>0</v>
      </c>
      <c r="T33" s="91">
        <v>7</v>
      </c>
      <c r="U33" s="104"/>
      <c r="V33" s="92"/>
      <c r="W33" s="93"/>
      <c r="X33" s="105"/>
      <c r="Y33" s="106" t="e">
        <f>S33/X33*100</f>
        <v>#DIV/0!</v>
      </c>
      <c r="Z33" s="62"/>
      <c r="AA33" s="62"/>
      <c r="AB33" s="240"/>
      <c r="AC33" s="242"/>
      <c r="AD33" s="242"/>
      <c r="AE33" s="240"/>
      <c r="AF33" s="242"/>
      <c r="AG33" s="240"/>
      <c r="AH33" s="240"/>
      <c r="AI33" s="240"/>
      <c r="AJ33" s="240"/>
      <c r="AK33" s="240"/>
      <c r="AL33" s="240"/>
      <c r="AM33" s="240"/>
      <c r="AN33" s="240"/>
      <c r="AO33" s="240"/>
      <c r="AP33" s="240"/>
      <c r="AQ33" s="240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</row>
    <row r="34" spans="1:62" ht="11.25" customHeight="1" x14ac:dyDescent="0.2">
      <c r="A34" s="44"/>
      <c r="B34" s="91">
        <v>8</v>
      </c>
      <c r="C34" s="92"/>
      <c r="D34" s="92"/>
      <c r="E34" s="93"/>
      <c r="F34" s="94"/>
      <c r="G34" s="95">
        <f>(F34-L34)</f>
        <v>0</v>
      </c>
      <c r="H34" s="236">
        <v>8</v>
      </c>
      <c r="I34" s="236"/>
      <c r="J34" s="236"/>
      <c r="K34" s="96"/>
      <c r="L34" s="97"/>
      <c r="M34" s="98" t="e">
        <f t="shared" ref="M34:M56" si="0">G34/L34*100</f>
        <v>#DIV/0!</v>
      </c>
      <c r="N34" s="99">
        <v>8</v>
      </c>
      <c r="O34" s="100"/>
      <c r="P34" s="100"/>
      <c r="Q34" s="101"/>
      <c r="R34" s="102"/>
      <c r="S34" s="103">
        <f t="shared" ref="S34:S56" si="1">ABS(R34-X34)</f>
        <v>0</v>
      </c>
      <c r="T34" s="91">
        <v>8</v>
      </c>
      <c r="U34" s="92"/>
      <c r="V34" s="92"/>
      <c r="W34" s="93"/>
      <c r="X34" s="105"/>
      <c r="Y34" s="106" t="e">
        <f t="shared" ref="Y34:Y56" si="2">S34/X34*100</f>
        <v>#DIV/0!</v>
      </c>
      <c r="Z34" s="62"/>
      <c r="AA34" s="62"/>
      <c r="AB34" s="240"/>
      <c r="AC34" s="242"/>
      <c r="AD34" s="242"/>
      <c r="AE34" s="240"/>
      <c r="AF34" s="242"/>
      <c r="AG34" s="240"/>
      <c r="AH34" s="240"/>
      <c r="AI34" s="240"/>
      <c r="AJ34" s="240"/>
      <c r="AK34" s="240"/>
      <c r="AL34" s="240"/>
      <c r="AM34" s="240"/>
      <c r="AN34" s="240"/>
      <c r="AO34" s="240"/>
      <c r="AP34" s="240"/>
      <c r="AQ34" s="240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</row>
    <row r="35" spans="1:62" ht="11.25" customHeight="1" x14ac:dyDescent="0.2">
      <c r="A35" s="44"/>
      <c r="B35" s="91">
        <v>9</v>
      </c>
      <c r="C35" s="92"/>
      <c r="D35" s="92"/>
      <c r="E35" s="93"/>
      <c r="F35" s="94"/>
      <c r="G35" s="95">
        <f t="shared" ref="G35:G56" si="3">(F35-L35)</f>
        <v>0</v>
      </c>
      <c r="H35" s="236">
        <v>9</v>
      </c>
      <c r="I35" s="236"/>
      <c r="J35" s="236"/>
      <c r="K35" s="96"/>
      <c r="L35" s="97"/>
      <c r="M35" s="98" t="e">
        <f t="shared" si="0"/>
        <v>#DIV/0!</v>
      </c>
      <c r="N35" s="99">
        <v>9</v>
      </c>
      <c r="O35" s="100"/>
      <c r="P35" s="100"/>
      <c r="Q35" s="101"/>
      <c r="R35" s="102"/>
      <c r="S35" s="103">
        <f t="shared" si="1"/>
        <v>0</v>
      </c>
      <c r="T35" s="91">
        <v>9</v>
      </c>
      <c r="U35" s="92"/>
      <c r="V35" s="92"/>
      <c r="W35" s="93"/>
      <c r="X35" s="105"/>
      <c r="Y35" s="106" t="e">
        <f t="shared" si="2"/>
        <v>#DIV/0!</v>
      </c>
      <c r="Z35" s="62"/>
      <c r="AA35" s="62"/>
      <c r="AB35" s="240"/>
      <c r="AC35" s="242"/>
      <c r="AD35" s="242"/>
      <c r="AE35" s="240"/>
      <c r="AF35" s="242"/>
      <c r="AG35" s="240"/>
      <c r="AH35" s="240"/>
      <c r="AI35" s="240"/>
      <c r="AJ35" s="240"/>
      <c r="AK35" s="240"/>
      <c r="AL35" s="240"/>
      <c r="AM35" s="240"/>
      <c r="AN35" s="240"/>
      <c r="AO35" s="240"/>
      <c r="AP35" s="240"/>
      <c r="AQ35" s="240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</row>
    <row r="36" spans="1:62" ht="10.7" customHeight="1" x14ac:dyDescent="0.2">
      <c r="A36" s="44"/>
      <c r="B36" s="91">
        <v>10</v>
      </c>
      <c r="C36" s="92"/>
      <c r="D36" s="92"/>
      <c r="E36" s="93"/>
      <c r="F36" s="107"/>
      <c r="G36" s="95">
        <f t="shared" si="3"/>
        <v>0</v>
      </c>
      <c r="H36" s="236">
        <v>10</v>
      </c>
      <c r="I36" s="236"/>
      <c r="J36" s="236"/>
      <c r="K36" s="96"/>
      <c r="L36" s="97"/>
      <c r="M36" s="98" t="e">
        <f t="shared" si="0"/>
        <v>#DIV/0!</v>
      </c>
      <c r="N36" s="99">
        <v>10</v>
      </c>
      <c r="O36" s="100"/>
      <c r="P36" s="100"/>
      <c r="Q36" s="101"/>
      <c r="R36" s="108"/>
      <c r="S36" s="103">
        <f t="shared" si="1"/>
        <v>0</v>
      </c>
      <c r="T36" s="91">
        <v>10</v>
      </c>
      <c r="U36" s="92"/>
      <c r="V36" s="92"/>
      <c r="W36" s="93"/>
      <c r="X36" s="109"/>
      <c r="Y36" s="106" t="e">
        <f t="shared" si="2"/>
        <v>#DIV/0!</v>
      </c>
      <c r="Z36" s="62"/>
      <c r="AA36" s="62"/>
      <c r="AB36" s="240"/>
      <c r="AC36" s="242"/>
      <c r="AD36" s="242"/>
      <c r="AE36" s="240"/>
      <c r="AF36" s="242"/>
      <c r="AG36" s="240"/>
      <c r="AH36" s="240"/>
      <c r="AI36" s="240"/>
      <c r="AJ36" s="240"/>
      <c r="AK36" s="240"/>
      <c r="AL36" s="240"/>
      <c r="AM36" s="240"/>
      <c r="AN36" s="240"/>
      <c r="AO36" s="240"/>
      <c r="AP36" s="240"/>
      <c r="AQ36" s="240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</row>
    <row r="37" spans="1:62" ht="10.7" customHeight="1" x14ac:dyDescent="0.2">
      <c r="A37" s="44"/>
      <c r="B37" s="91">
        <v>11</v>
      </c>
      <c r="C37" s="92"/>
      <c r="D37" s="92"/>
      <c r="E37" s="93"/>
      <c r="F37" s="107"/>
      <c r="G37" s="95">
        <f t="shared" si="3"/>
        <v>0</v>
      </c>
      <c r="H37" s="236">
        <v>11</v>
      </c>
      <c r="I37" s="236"/>
      <c r="J37" s="236"/>
      <c r="K37" s="96"/>
      <c r="L37" s="97"/>
      <c r="M37" s="98" t="e">
        <f t="shared" si="0"/>
        <v>#DIV/0!</v>
      </c>
      <c r="N37" s="99">
        <v>11</v>
      </c>
      <c r="O37" s="100"/>
      <c r="P37" s="100"/>
      <c r="Q37" s="101"/>
      <c r="R37" s="108"/>
      <c r="S37" s="103">
        <f t="shared" si="1"/>
        <v>0</v>
      </c>
      <c r="T37" s="91">
        <v>11</v>
      </c>
      <c r="U37" s="92"/>
      <c r="V37" s="92"/>
      <c r="W37" s="93"/>
      <c r="X37" s="109"/>
      <c r="Y37" s="106" t="e">
        <f t="shared" si="2"/>
        <v>#DIV/0!</v>
      </c>
      <c r="Z37" s="62"/>
      <c r="AA37" s="62"/>
      <c r="AB37" s="240"/>
      <c r="AC37" s="242"/>
      <c r="AD37" s="242"/>
      <c r="AE37" s="240"/>
      <c r="AF37" s="242"/>
      <c r="AG37" s="240"/>
      <c r="AH37" s="240"/>
      <c r="AI37" s="240"/>
      <c r="AJ37" s="240"/>
      <c r="AK37" s="240"/>
      <c r="AL37" s="240"/>
      <c r="AM37" s="240"/>
      <c r="AN37" s="240"/>
      <c r="AO37" s="240"/>
      <c r="AP37" s="240"/>
      <c r="AQ37" s="240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</row>
    <row r="38" spans="1:62" ht="10.7" customHeight="1" x14ac:dyDescent="0.2">
      <c r="A38" s="44"/>
      <c r="B38" s="91">
        <v>12</v>
      </c>
      <c r="C38" s="92"/>
      <c r="D38" s="92"/>
      <c r="E38" s="93"/>
      <c r="F38" s="107"/>
      <c r="G38" s="95">
        <f t="shared" si="3"/>
        <v>0</v>
      </c>
      <c r="H38" s="236">
        <v>12</v>
      </c>
      <c r="I38" s="236"/>
      <c r="J38" s="236"/>
      <c r="K38" s="96"/>
      <c r="L38" s="97"/>
      <c r="M38" s="98" t="e">
        <f t="shared" si="0"/>
        <v>#DIV/0!</v>
      </c>
      <c r="N38" s="99">
        <v>12</v>
      </c>
      <c r="O38" s="100"/>
      <c r="P38" s="100"/>
      <c r="Q38" s="101"/>
      <c r="R38" s="108"/>
      <c r="S38" s="103">
        <f t="shared" si="1"/>
        <v>0</v>
      </c>
      <c r="T38" s="91">
        <v>12</v>
      </c>
      <c r="U38" s="92"/>
      <c r="V38" s="92"/>
      <c r="W38" s="93"/>
      <c r="X38" s="109"/>
      <c r="Y38" s="106" t="e">
        <f t="shared" si="2"/>
        <v>#DIV/0!</v>
      </c>
      <c r="Z38" s="62"/>
      <c r="AA38" s="62"/>
      <c r="AB38" s="240"/>
      <c r="AC38" s="242"/>
      <c r="AD38" s="242"/>
      <c r="AE38" s="240"/>
      <c r="AF38" s="242"/>
      <c r="AG38" s="240"/>
      <c r="AH38" s="240"/>
      <c r="AI38" s="240"/>
      <c r="AJ38" s="240"/>
      <c r="AK38" s="240"/>
      <c r="AL38" s="240"/>
      <c r="AM38" s="240"/>
      <c r="AN38" s="240"/>
      <c r="AO38" s="240"/>
      <c r="AP38" s="240"/>
      <c r="AQ38" s="240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</row>
    <row r="39" spans="1:62" ht="10.7" customHeight="1" x14ac:dyDescent="0.2">
      <c r="A39" s="44"/>
      <c r="B39" s="91">
        <v>13</v>
      </c>
      <c r="C39" s="92"/>
      <c r="D39" s="92"/>
      <c r="E39" s="93"/>
      <c r="F39" s="94"/>
      <c r="G39" s="95">
        <f t="shared" si="3"/>
        <v>0</v>
      </c>
      <c r="H39" s="236">
        <v>13</v>
      </c>
      <c r="I39" s="236"/>
      <c r="J39" s="236"/>
      <c r="K39" s="96"/>
      <c r="L39" s="97"/>
      <c r="M39" s="98" t="e">
        <f t="shared" si="0"/>
        <v>#DIV/0!</v>
      </c>
      <c r="N39" s="99">
        <v>13</v>
      </c>
      <c r="O39" s="100"/>
      <c r="P39" s="100"/>
      <c r="Q39" s="101"/>
      <c r="R39" s="102"/>
      <c r="S39" s="103">
        <f t="shared" si="1"/>
        <v>0</v>
      </c>
      <c r="T39" s="91">
        <v>13</v>
      </c>
      <c r="U39" s="92"/>
      <c r="V39" s="92"/>
      <c r="W39" s="93"/>
      <c r="X39" s="105"/>
      <c r="Y39" s="106" t="e">
        <f t="shared" si="2"/>
        <v>#DIV/0!</v>
      </c>
      <c r="Z39" s="62"/>
      <c r="AA39" s="62"/>
      <c r="AB39" s="240"/>
      <c r="AC39" s="242"/>
      <c r="AD39" s="242"/>
      <c r="AE39" s="240"/>
      <c r="AF39" s="242"/>
      <c r="AG39" s="240"/>
      <c r="AH39" s="240"/>
      <c r="AI39" s="240"/>
      <c r="AJ39" s="240"/>
      <c r="AK39" s="240"/>
      <c r="AL39" s="240"/>
      <c r="AM39" s="240"/>
      <c r="AN39" s="240"/>
      <c r="AO39" s="240"/>
      <c r="AP39" s="240"/>
      <c r="AQ39" s="240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</row>
    <row r="40" spans="1:62" ht="12" customHeight="1" x14ac:dyDescent="0.2">
      <c r="A40" s="44"/>
      <c r="B40" s="91">
        <v>14</v>
      </c>
      <c r="C40" s="92"/>
      <c r="D40" s="92"/>
      <c r="E40" s="93"/>
      <c r="F40" s="94"/>
      <c r="G40" s="95">
        <f t="shared" si="3"/>
        <v>0</v>
      </c>
      <c r="H40" s="236">
        <v>14</v>
      </c>
      <c r="I40" s="236"/>
      <c r="J40" s="236"/>
      <c r="K40" s="96"/>
      <c r="L40" s="97"/>
      <c r="M40" s="98" t="e">
        <f t="shared" si="0"/>
        <v>#DIV/0!</v>
      </c>
      <c r="N40" s="99">
        <v>14</v>
      </c>
      <c r="O40" s="100"/>
      <c r="P40" s="100"/>
      <c r="Q40" s="101"/>
      <c r="R40" s="102"/>
      <c r="S40" s="103">
        <f t="shared" si="1"/>
        <v>0</v>
      </c>
      <c r="T40" s="91">
        <v>14</v>
      </c>
      <c r="U40" s="92"/>
      <c r="V40" s="92"/>
      <c r="W40" s="93"/>
      <c r="X40" s="105"/>
      <c r="Y40" s="106" t="e">
        <f t="shared" si="2"/>
        <v>#DIV/0!</v>
      </c>
      <c r="Z40" s="62"/>
      <c r="AA40" s="62"/>
      <c r="AB40" s="240"/>
      <c r="AC40" s="242"/>
      <c r="AD40" s="242"/>
      <c r="AE40" s="240"/>
      <c r="AF40" s="242"/>
      <c r="AG40" s="240"/>
      <c r="AH40" s="240"/>
      <c r="AI40" s="240"/>
      <c r="AJ40" s="240"/>
      <c r="AK40" s="240"/>
      <c r="AL40" s="240"/>
      <c r="AM40" s="240"/>
      <c r="AN40" s="240"/>
      <c r="AO40" s="240"/>
      <c r="AP40" s="240"/>
      <c r="AQ40" s="240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</row>
    <row r="41" spans="1:62" ht="11.25" customHeight="1" x14ac:dyDescent="0.2">
      <c r="A41" s="44"/>
      <c r="B41" s="91">
        <v>15</v>
      </c>
      <c r="C41" s="92"/>
      <c r="D41" s="92"/>
      <c r="E41" s="93"/>
      <c r="F41" s="94"/>
      <c r="G41" s="95">
        <f t="shared" si="3"/>
        <v>0</v>
      </c>
      <c r="H41" s="236">
        <v>15</v>
      </c>
      <c r="I41" s="236"/>
      <c r="J41" s="236"/>
      <c r="K41" s="96"/>
      <c r="L41" s="97"/>
      <c r="M41" s="98" t="e">
        <f t="shared" si="0"/>
        <v>#DIV/0!</v>
      </c>
      <c r="N41" s="99">
        <v>15</v>
      </c>
      <c r="O41" s="100"/>
      <c r="P41" s="100"/>
      <c r="Q41" s="101"/>
      <c r="R41" s="102"/>
      <c r="S41" s="103">
        <f t="shared" si="1"/>
        <v>0</v>
      </c>
      <c r="T41" s="91">
        <v>15</v>
      </c>
      <c r="U41" s="92"/>
      <c r="V41" s="92"/>
      <c r="W41" s="93"/>
      <c r="X41" s="105"/>
      <c r="Y41" s="106" t="e">
        <f t="shared" si="2"/>
        <v>#DIV/0!</v>
      </c>
      <c r="Z41" s="62"/>
      <c r="AA41" s="62"/>
      <c r="AB41" s="240"/>
      <c r="AC41" s="242"/>
      <c r="AD41" s="242"/>
      <c r="AE41" s="240"/>
      <c r="AF41" s="242"/>
      <c r="AG41" s="240"/>
      <c r="AH41" s="240"/>
      <c r="AI41" s="240"/>
      <c r="AJ41" s="240"/>
      <c r="AK41" s="240"/>
      <c r="AL41" s="240"/>
      <c r="AM41" s="240"/>
      <c r="AN41" s="240"/>
      <c r="AO41" s="240"/>
      <c r="AP41" s="240"/>
      <c r="AQ41" s="240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</row>
    <row r="42" spans="1:62" ht="11.25" customHeight="1" x14ac:dyDescent="0.2">
      <c r="A42" s="44"/>
      <c r="B42" s="91">
        <v>16</v>
      </c>
      <c r="C42" s="92"/>
      <c r="D42" s="92"/>
      <c r="E42" s="93"/>
      <c r="F42" s="94"/>
      <c r="G42" s="95">
        <f t="shared" si="3"/>
        <v>0</v>
      </c>
      <c r="H42" s="236">
        <v>16</v>
      </c>
      <c r="I42" s="236"/>
      <c r="J42" s="236"/>
      <c r="K42" s="96"/>
      <c r="L42" s="97"/>
      <c r="M42" s="98" t="e">
        <f t="shared" si="0"/>
        <v>#DIV/0!</v>
      </c>
      <c r="N42" s="99">
        <v>16</v>
      </c>
      <c r="O42" s="100"/>
      <c r="P42" s="100"/>
      <c r="Q42" s="101"/>
      <c r="R42" s="102"/>
      <c r="S42" s="103">
        <f t="shared" si="1"/>
        <v>0</v>
      </c>
      <c r="T42" s="91">
        <v>16</v>
      </c>
      <c r="U42" s="92"/>
      <c r="V42" s="92"/>
      <c r="W42" s="93"/>
      <c r="X42" s="105"/>
      <c r="Y42" s="106" t="e">
        <f t="shared" si="2"/>
        <v>#DIV/0!</v>
      </c>
      <c r="Z42" s="62"/>
      <c r="AA42" s="62"/>
      <c r="AB42" s="240"/>
      <c r="AC42" s="242"/>
      <c r="AD42" s="242"/>
      <c r="AE42" s="240"/>
      <c r="AF42" s="242"/>
      <c r="AG42" s="240"/>
      <c r="AH42" s="240"/>
      <c r="AI42" s="240"/>
      <c r="AJ42" s="240"/>
      <c r="AK42" s="240"/>
      <c r="AL42" s="240"/>
      <c r="AM42" s="240"/>
      <c r="AN42" s="240"/>
      <c r="AO42" s="240"/>
      <c r="AP42" s="240"/>
      <c r="AQ42" s="240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</row>
    <row r="43" spans="1:62" ht="11.25" customHeight="1" x14ac:dyDescent="0.2">
      <c r="A43" s="44"/>
      <c r="B43" s="91">
        <v>17</v>
      </c>
      <c r="C43" s="92"/>
      <c r="D43" s="92"/>
      <c r="E43" s="93"/>
      <c r="F43" s="94"/>
      <c r="G43" s="95">
        <f t="shared" si="3"/>
        <v>0</v>
      </c>
      <c r="H43" s="236">
        <v>17</v>
      </c>
      <c r="I43" s="236"/>
      <c r="J43" s="236"/>
      <c r="K43" s="96"/>
      <c r="L43" s="97"/>
      <c r="M43" s="98" t="e">
        <f t="shared" si="0"/>
        <v>#DIV/0!</v>
      </c>
      <c r="N43" s="99">
        <v>17</v>
      </c>
      <c r="O43" s="100"/>
      <c r="P43" s="100"/>
      <c r="Q43" s="101"/>
      <c r="R43" s="102"/>
      <c r="S43" s="103">
        <f t="shared" si="1"/>
        <v>0</v>
      </c>
      <c r="T43" s="91">
        <v>17</v>
      </c>
      <c r="U43" s="92"/>
      <c r="V43" s="92"/>
      <c r="W43" s="93"/>
      <c r="X43" s="105"/>
      <c r="Y43" s="106" t="e">
        <f t="shared" si="2"/>
        <v>#DIV/0!</v>
      </c>
      <c r="Z43" s="62"/>
      <c r="AA43" s="62"/>
      <c r="AB43" s="240"/>
      <c r="AC43" s="242"/>
      <c r="AD43" s="242"/>
      <c r="AE43" s="240"/>
      <c r="AF43" s="242"/>
      <c r="AG43" s="240"/>
      <c r="AH43" s="240"/>
      <c r="AI43" s="240"/>
      <c r="AJ43" s="240"/>
      <c r="AK43" s="240"/>
      <c r="AL43" s="240"/>
      <c r="AM43" s="240"/>
      <c r="AN43" s="240"/>
      <c r="AO43" s="240"/>
      <c r="AP43" s="240"/>
      <c r="AQ43" s="240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</row>
    <row r="44" spans="1:62" ht="11.25" customHeight="1" x14ac:dyDescent="0.2">
      <c r="A44" s="44"/>
      <c r="B44" s="91">
        <v>18</v>
      </c>
      <c r="C44" s="92"/>
      <c r="D44" s="92"/>
      <c r="E44" s="93"/>
      <c r="F44" s="94"/>
      <c r="G44" s="95">
        <f t="shared" si="3"/>
        <v>0</v>
      </c>
      <c r="H44" s="236">
        <v>18</v>
      </c>
      <c r="I44" s="236"/>
      <c r="J44" s="236"/>
      <c r="K44" s="96"/>
      <c r="L44" s="97"/>
      <c r="M44" s="98" t="e">
        <f t="shared" si="0"/>
        <v>#DIV/0!</v>
      </c>
      <c r="N44" s="99">
        <v>18</v>
      </c>
      <c r="O44" s="100"/>
      <c r="P44" s="100"/>
      <c r="Q44" s="101"/>
      <c r="R44" s="102"/>
      <c r="S44" s="103">
        <f t="shared" si="1"/>
        <v>0</v>
      </c>
      <c r="T44" s="91">
        <v>18</v>
      </c>
      <c r="U44" s="92"/>
      <c r="V44" s="92"/>
      <c r="W44" s="93"/>
      <c r="X44" s="105"/>
      <c r="Y44" s="106" t="e">
        <f t="shared" si="2"/>
        <v>#DIV/0!</v>
      </c>
      <c r="Z44" s="61"/>
      <c r="AA44" s="61"/>
      <c r="AB44" s="240"/>
      <c r="AC44" s="242"/>
      <c r="AD44" s="242"/>
      <c r="AE44" s="240"/>
      <c r="AF44" s="242"/>
      <c r="AG44" s="241"/>
      <c r="AH44" s="241"/>
      <c r="AI44" s="241"/>
      <c r="AJ44" s="240"/>
      <c r="AK44" s="241"/>
      <c r="AL44" s="241"/>
      <c r="AM44" s="241"/>
      <c r="AN44" s="241"/>
      <c r="AO44" s="241"/>
      <c r="AP44" s="241"/>
      <c r="AQ44" s="241"/>
      <c r="AR44" s="45"/>
      <c r="AS44" s="45"/>
      <c r="AT44" s="45"/>
      <c r="AU44" s="45"/>
      <c r="AV44" s="45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</row>
    <row r="45" spans="1:62" ht="11.25" customHeight="1" x14ac:dyDescent="0.2">
      <c r="A45" s="44"/>
      <c r="B45" s="91">
        <v>19</v>
      </c>
      <c r="C45" s="92"/>
      <c r="D45" s="92"/>
      <c r="E45" s="93"/>
      <c r="F45" s="94"/>
      <c r="G45" s="95">
        <f t="shared" si="3"/>
        <v>0</v>
      </c>
      <c r="H45" s="236">
        <v>19</v>
      </c>
      <c r="I45" s="236"/>
      <c r="J45" s="236"/>
      <c r="K45" s="96"/>
      <c r="L45" s="97"/>
      <c r="M45" s="98" t="e">
        <f>G45/L45*100</f>
        <v>#DIV/0!</v>
      </c>
      <c r="N45" s="99">
        <v>19</v>
      </c>
      <c r="O45" s="100"/>
      <c r="P45" s="100"/>
      <c r="Q45" s="101"/>
      <c r="R45" s="102"/>
      <c r="S45" s="103">
        <f t="shared" si="1"/>
        <v>0</v>
      </c>
      <c r="T45" s="91">
        <v>19</v>
      </c>
      <c r="U45" s="92"/>
      <c r="V45" s="92"/>
      <c r="W45" s="93"/>
      <c r="X45" s="105"/>
      <c r="Y45" s="106" t="e">
        <f t="shared" si="2"/>
        <v>#DIV/0!</v>
      </c>
      <c r="Z45" s="58"/>
      <c r="AA45" s="110"/>
      <c r="AB45" s="240"/>
      <c r="AC45" s="242"/>
      <c r="AD45" s="242"/>
      <c r="AE45" s="240"/>
      <c r="AF45" s="242"/>
      <c r="AG45" s="11"/>
      <c r="AH45" s="178"/>
      <c r="AI45" s="11"/>
      <c r="AJ45" s="240"/>
      <c r="AK45" s="11"/>
      <c r="AL45" s="178"/>
      <c r="AM45" s="11"/>
      <c r="AN45" s="178"/>
      <c r="AO45" s="11"/>
      <c r="AP45" s="178"/>
      <c r="AQ45" s="11"/>
      <c r="AR45" s="29"/>
      <c r="AS45" s="28"/>
      <c r="AT45" s="29"/>
      <c r="AU45" s="28"/>
      <c r="AV45" s="29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</row>
    <row r="46" spans="1:62" ht="11.25" customHeight="1" x14ac:dyDescent="0.2">
      <c r="A46" s="44"/>
      <c r="B46" s="91">
        <v>20</v>
      </c>
      <c r="C46" s="92"/>
      <c r="D46" s="92"/>
      <c r="E46" s="93"/>
      <c r="F46" s="94"/>
      <c r="G46" s="95">
        <f t="shared" si="3"/>
        <v>0</v>
      </c>
      <c r="H46" s="236">
        <v>20</v>
      </c>
      <c r="I46" s="236"/>
      <c r="J46" s="236"/>
      <c r="K46" s="96"/>
      <c r="L46" s="97"/>
      <c r="M46" s="98" t="e">
        <f t="shared" si="0"/>
        <v>#DIV/0!</v>
      </c>
      <c r="N46" s="99">
        <v>20</v>
      </c>
      <c r="O46" s="100"/>
      <c r="P46" s="100"/>
      <c r="Q46" s="101"/>
      <c r="R46" s="102"/>
      <c r="S46" s="103">
        <f t="shared" si="1"/>
        <v>0</v>
      </c>
      <c r="T46" s="91">
        <v>20</v>
      </c>
      <c r="U46" s="92"/>
      <c r="V46" s="92"/>
      <c r="W46" s="93"/>
      <c r="X46" s="105"/>
      <c r="Y46" s="106" t="e">
        <f t="shared" si="2"/>
        <v>#DIV/0!</v>
      </c>
      <c r="Z46" s="111"/>
      <c r="AA46" s="111"/>
      <c r="AB46" s="240"/>
      <c r="AC46" s="242"/>
      <c r="AD46" s="242"/>
      <c r="AE46" s="240"/>
      <c r="AF46" s="242"/>
      <c r="AG46" s="173"/>
      <c r="AH46" s="173"/>
      <c r="AI46" s="173"/>
      <c r="AJ46" s="240"/>
      <c r="AK46" s="173"/>
      <c r="AL46" s="173"/>
      <c r="AM46" s="173"/>
      <c r="AN46" s="173"/>
      <c r="AO46" s="173"/>
      <c r="AP46" s="173"/>
      <c r="AQ46" s="173"/>
      <c r="AR46" s="31"/>
      <c r="AS46" s="31"/>
      <c r="AT46" s="31"/>
      <c r="AU46" s="31"/>
      <c r="AV46" s="31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</row>
    <row r="47" spans="1:62" ht="11.25" customHeight="1" x14ac:dyDescent="0.2">
      <c r="A47" s="44"/>
      <c r="B47" s="91">
        <v>21</v>
      </c>
      <c r="C47" s="92"/>
      <c r="D47" s="92"/>
      <c r="E47" s="93"/>
      <c r="F47" s="94"/>
      <c r="G47" s="95">
        <f t="shared" si="3"/>
        <v>0</v>
      </c>
      <c r="H47" s="236">
        <v>21</v>
      </c>
      <c r="I47" s="236"/>
      <c r="J47" s="236"/>
      <c r="K47" s="96"/>
      <c r="L47" s="97"/>
      <c r="M47" s="98" t="e">
        <f t="shared" si="0"/>
        <v>#DIV/0!</v>
      </c>
      <c r="N47" s="99">
        <v>21</v>
      </c>
      <c r="O47" s="100"/>
      <c r="P47" s="100"/>
      <c r="Q47" s="101"/>
      <c r="R47" s="102"/>
      <c r="S47" s="103">
        <f t="shared" si="1"/>
        <v>0</v>
      </c>
      <c r="T47" s="91">
        <v>21</v>
      </c>
      <c r="U47" s="92"/>
      <c r="V47" s="92"/>
      <c r="W47" s="93"/>
      <c r="X47" s="105"/>
      <c r="Y47" s="106" t="e">
        <f t="shared" si="2"/>
        <v>#DIV/0!</v>
      </c>
      <c r="Z47" s="112"/>
      <c r="AA47" s="112"/>
      <c r="AB47" s="240"/>
      <c r="AC47" s="242"/>
      <c r="AD47" s="242"/>
      <c r="AE47" s="240"/>
      <c r="AF47" s="242"/>
      <c r="AG47" s="174"/>
      <c r="AH47" s="11"/>
      <c r="AI47" s="174"/>
      <c r="AJ47" s="240"/>
      <c r="AK47" s="174"/>
      <c r="AL47" s="174"/>
      <c r="AM47" s="174"/>
      <c r="AN47" s="174"/>
      <c r="AO47" s="174"/>
      <c r="AP47" s="174"/>
      <c r="AQ47" s="174"/>
      <c r="AR47" s="32"/>
      <c r="AS47" s="32"/>
      <c r="AT47" s="32"/>
      <c r="AU47" s="32"/>
      <c r="AV47" s="32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</row>
    <row r="48" spans="1:62" ht="11.25" customHeight="1" x14ac:dyDescent="0.2">
      <c r="A48" s="44"/>
      <c r="B48" s="91">
        <v>22</v>
      </c>
      <c r="C48" s="92"/>
      <c r="D48" s="92"/>
      <c r="E48" s="93"/>
      <c r="F48" s="94"/>
      <c r="G48" s="95">
        <f t="shared" si="3"/>
        <v>0</v>
      </c>
      <c r="H48" s="236">
        <v>22</v>
      </c>
      <c r="I48" s="236"/>
      <c r="J48" s="236"/>
      <c r="K48" s="96"/>
      <c r="L48" s="97"/>
      <c r="M48" s="98" t="e">
        <f t="shared" si="0"/>
        <v>#DIV/0!</v>
      </c>
      <c r="N48" s="99">
        <v>22</v>
      </c>
      <c r="O48" s="100"/>
      <c r="P48" s="100"/>
      <c r="Q48" s="101"/>
      <c r="R48" s="102"/>
      <c r="S48" s="103">
        <f t="shared" si="1"/>
        <v>0</v>
      </c>
      <c r="T48" s="91">
        <v>22</v>
      </c>
      <c r="U48" s="92"/>
      <c r="V48" s="92"/>
      <c r="W48" s="93"/>
      <c r="X48" s="105"/>
      <c r="Y48" s="106" t="e">
        <f t="shared" si="2"/>
        <v>#DIV/0!</v>
      </c>
      <c r="Z48" s="113"/>
      <c r="AA48" s="113"/>
      <c r="AB48" s="240"/>
      <c r="AC48" s="242"/>
      <c r="AD48" s="242"/>
      <c r="AE48" s="240"/>
      <c r="AF48" s="242"/>
      <c r="AG48" s="175"/>
      <c r="AH48" s="11"/>
      <c r="AI48" s="175"/>
      <c r="AJ48" s="240"/>
      <c r="AK48" s="175"/>
      <c r="AL48" s="175"/>
      <c r="AM48" s="175"/>
      <c r="AN48" s="175"/>
      <c r="AO48" s="175"/>
      <c r="AP48" s="175"/>
      <c r="AQ48" s="175"/>
      <c r="AR48" s="33"/>
      <c r="AS48" s="33"/>
      <c r="AT48" s="33"/>
      <c r="AU48" s="33"/>
      <c r="AV48" s="3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</row>
    <row r="49" spans="1:62" ht="11.25" customHeight="1" x14ac:dyDescent="0.2">
      <c r="A49" s="44"/>
      <c r="B49" s="91">
        <v>23</v>
      </c>
      <c r="C49" s="92"/>
      <c r="D49" s="92"/>
      <c r="E49" s="93"/>
      <c r="F49" s="94"/>
      <c r="G49" s="95">
        <f t="shared" si="3"/>
        <v>0</v>
      </c>
      <c r="H49" s="236">
        <v>23</v>
      </c>
      <c r="I49" s="236"/>
      <c r="J49" s="236"/>
      <c r="K49" s="96"/>
      <c r="L49" s="97"/>
      <c r="M49" s="98" t="e">
        <f t="shared" si="0"/>
        <v>#DIV/0!</v>
      </c>
      <c r="N49" s="99">
        <v>23</v>
      </c>
      <c r="O49" s="100"/>
      <c r="P49" s="100"/>
      <c r="Q49" s="101"/>
      <c r="R49" s="102"/>
      <c r="S49" s="103">
        <f t="shared" si="1"/>
        <v>0</v>
      </c>
      <c r="T49" s="91">
        <v>23</v>
      </c>
      <c r="U49" s="92"/>
      <c r="V49" s="92"/>
      <c r="W49" s="93"/>
      <c r="X49" s="105"/>
      <c r="Y49" s="106" t="e">
        <f t="shared" si="2"/>
        <v>#DIV/0!</v>
      </c>
      <c r="Z49" s="114"/>
      <c r="AA49" s="114"/>
      <c r="AB49" s="240"/>
      <c r="AC49" s="242"/>
      <c r="AD49" s="242"/>
      <c r="AE49" s="240"/>
      <c r="AF49" s="242"/>
      <c r="AG49" s="176"/>
      <c r="AH49" s="11"/>
      <c r="AI49" s="176"/>
      <c r="AJ49" s="240"/>
      <c r="AK49" s="176"/>
      <c r="AL49" s="176"/>
      <c r="AM49" s="176"/>
      <c r="AN49" s="176"/>
      <c r="AO49" s="176"/>
      <c r="AP49" s="176"/>
      <c r="AQ49" s="176"/>
      <c r="AR49" s="34"/>
      <c r="AS49" s="34"/>
      <c r="AT49" s="34"/>
      <c r="AU49" s="34"/>
      <c r="AV49" s="34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</row>
    <row r="50" spans="1:62" ht="11.25" customHeight="1" x14ac:dyDescent="0.2">
      <c r="A50" s="44"/>
      <c r="B50" s="91">
        <v>24</v>
      </c>
      <c r="C50" s="92"/>
      <c r="D50" s="92"/>
      <c r="E50" s="93"/>
      <c r="F50" s="94"/>
      <c r="G50" s="95">
        <f t="shared" si="3"/>
        <v>0</v>
      </c>
      <c r="H50" s="236">
        <v>24</v>
      </c>
      <c r="I50" s="236"/>
      <c r="J50" s="236"/>
      <c r="K50" s="96"/>
      <c r="L50" s="97"/>
      <c r="M50" s="98" t="e">
        <f>G50/L50*100</f>
        <v>#DIV/0!</v>
      </c>
      <c r="N50" s="99">
        <v>24</v>
      </c>
      <c r="O50" s="100"/>
      <c r="P50" s="100"/>
      <c r="Q50" s="101"/>
      <c r="R50" s="102"/>
      <c r="S50" s="103">
        <f t="shared" si="1"/>
        <v>0</v>
      </c>
      <c r="T50" s="91">
        <v>24</v>
      </c>
      <c r="U50" s="92"/>
      <c r="V50" s="92"/>
      <c r="W50" s="93"/>
      <c r="X50" s="105"/>
      <c r="Y50" s="106" t="e">
        <f t="shared" si="2"/>
        <v>#DIV/0!</v>
      </c>
      <c r="Z50" s="59"/>
      <c r="AA50" s="59"/>
      <c r="AB50" s="240"/>
      <c r="AC50" s="242"/>
      <c r="AD50" s="242"/>
      <c r="AE50" s="240"/>
      <c r="AF50" s="242"/>
      <c r="AG50" s="177"/>
      <c r="AH50" s="11"/>
      <c r="AI50" s="177"/>
      <c r="AJ50" s="240"/>
      <c r="AK50" s="177"/>
      <c r="AL50" s="177"/>
      <c r="AM50" s="177"/>
      <c r="AN50" s="177"/>
      <c r="AO50" s="177"/>
      <c r="AP50" s="177"/>
      <c r="AQ50" s="177"/>
      <c r="AR50" s="35"/>
      <c r="AS50" s="35"/>
      <c r="AT50" s="35"/>
      <c r="AU50" s="35"/>
      <c r="AV50" s="35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</row>
    <row r="51" spans="1:62" ht="11.25" customHeight="1" x14ac:dyDescent="0.2">
      <c r="A51" s="44"/>
      <c r="B51" s="91">
        <v>1</v>
      </c>
      <c r="C51" s="92"/>
      <c r="D51" s="92"/>
      <c r="E51" s="93"/>
      <c r="F51" s="94"/>
      <c r="G51" s="95">
        <f t="shared" si="3"/>
        <v>0</v>
      </c>
      <c r="H51" s="236">
        <v>1</v>
      </c>
      <c r="I51" s="236"/>
      <c r="J51" s="236"/>
      <c r="K51" s="96"/>
      <c r="L51" s="97"/>
      <c r="M51" s="98" t="e">
        <f t="shared" si="0"/>
        <v>#DIV/0!</v>
      </c>
      <c r="N51" s="99">
        <v>1</v>
      </c>
      <c r="O51" s="100"/>
      <c r="P51" s="100"/>
      <c r="Q51" s="101"/>
      <c r="R51" s="102"/>
      <c r="S51" s="103">
        <f t="shared" si="1"/>
        <v>0</v>
      </c>
      <c r="T51" s="91">
        <v>1</v>
      </c>
      <c r="U51" s="92"/>
      <c r="V51" s="92"/>
      <c r="W51" s="93"/>
      <c r="X51" s="105"/>
      <c r="Y51" s="106" t="e">
        <f t="shared" si="2"/>
        <v>#DIV/0!</v>
      </c>
      <c r="Z51" s="18"/>
      <c r="AA51" s="18"/>
      <c r="AB51" s="240"/>
      <c r="AC51" s="242"/>
      <c r="AD51" s="242"/>
      <c r="AE51" s="240"/>
      <c r="AF51" s="242"/>
      <c r="AG51" s="238"/>
      <c r="AH51" s="238"/>
      <c r="AI51" s="238"/>
      <c r="AJ51" s="240"/>
      <c r="AK51" s="238"/>
      <c r="AL51" s="238"/>
      <c r="AM51" s="238"/>
      <c r="AN51" s="238"/>
      <c r="AO51" s="238"/>
      <c r="AP51" s="238"/>
      <c r="AQ51" s="238"/>
      <c r="AR51" s="36"/>
      <c r="AS51" s="36"/>
      <c r="AT51" s="36"/>
      <c r="AU51" s="36"/>
      <c r="AV51" s="36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</row>
    <row r="52" spans="1:62" ht="11.25" customHeight="1" x14ac:dyDescent="0.2">
      <c r="A52" s="44"/>
      <c r="B52" s="91">
        <v>2</v>
      </c>
      <c r="C52" s="92"/>
      <c r="D52" s="92"/>
      <c r="E52" s="93"/>
      <c r="F52" s="94"/>
      <c r="G52" s="95">
        <f t="shared" si="3"/>
        <v>0</v>
      </c>
      <c r="H52" s="236">
        <v>2</v>
      </c>
      <c r="I52" s="236"/>
      <c r="J52" s="236"/>
      <c r="K52" s="96"/>
      <c r="L52" s="97"/>
      <c r="M52" s="98" t="e">
        <f t="shared" si="0"/>
        <v>#DIV/0!</v>
      </c>
      <c r="N52" s="99">
        <v>2</v>
      </c>
      <c r="O52" s="100"/>
      <c r="P52" s="100"/>
      <c r="Q52" s="101"/>
      <c r="R52" s="102"/>
      <c r="S52" s="103">
        <f t="shared" si="1"/>
        <v>0</v>
      </c>
      <c r="T52" s="91">
        <v>2</v>
      </c>
      <c r="U52" s="92"/>
      <c r="V52" s="92"/>
      <c r="W52" s="93"/>
      <c r="X52" s="105"/>
      <c r="Y52" s="106" t="e">
        <f t="shared" si="2"/>
        <v>#DIV/0!</v>
      </c>
      <c r="Z52" s="18"/>
      <c r="AA52" s="18"/>
      <c r="AB52" s="240"/>
      <c r="AC52" s="242"/>
      <c r="AD52" s="242"/>
      <c r="AE52" s="240"/>
      <c r="AF52" s="242"/>
      <c r="AG52" s="238"/>
      <c r="AH52" s="238"/>
      <c r="AI52" s="238"/>
      <c r="AJ52" s="240"/>
      <c r="AK52" s="238"/>
      <c r="AL52" s="238"/>
      <c r="AM52" s="238"/>
      <c r="AN52" s="238"/>
      <c r="AO52" s="238"/>
      <c r="AP52" s="238"/>
      <c r="AQ52" s="238"/>
      <c r="AR52" s="36"/>
      <c r="AS52" s="36"/>
      <c r="AT52" s="36"/>
      <c r="AU52" s="36"/>
      <c r="AV52" s="36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</row>
    <row r="53" spans="1:62" ht="11.25" customHeight="1" x14ac:dyDescent="0.2">
      <c r="A53" s="44"/>
      <c r="B53" s="91">
        <v>3</v>
      </c>
      <c r="C53" s="92"/>
      <c r="D53" s="92"/>
      <c r="E53" s="93"/>
      <c r="F53" s="94"/>
      <c r="G53" s="95">
        <f t="shared" si="3"/>
        <v>0</v>
      </c>
      <c r="H53" s="236">
        <v>3</v>
      </c>
      <c r="I53" s="236"/>
      <c r="J53" s="236"/>
      <c r="K53" s="96"/>
      <c r="L53" s="97"/>
      <c r="M53" s="98" t="e">
        <f t="shared" si="0"/>
        <v>#DIV/0!</v>
      </c>
      <c r="N53" s="99">
        <v>3</v>
      </c>
      <c r="O53" s="100"/>
      <c r="P53" s="100"/>
      <c r="Q53" s="101"/>
      <c r="R53" s="102"/>
      <c r="S53" s="103">
        <f t="shared" si="1"/>
        <v>0</v>
      </c>
      <c r="T53" s="91">
        <v>3</v>
      </c>
      <c r="U53" s="92"/>
      <c r="V53" s="92"/>
      <c r="W53" s="93"/>
      <c r="X53" s="105"/>
      <c r="Y53" s="106" t="e">
        <f t="shared" si="2"/>
        <v>#DIV/0!</v>
      </c>
      <c r="Z53" s="115"/>
      <c r="AA53" s="115"/>
      <c r="AB53" s="240"/>
      <c r="AC53" s="242"/>
      <c r="AD53" s="242"/>
      <c r="AE53" s="240"/>
      <c r="AF53" s="242"/>
      <c r="AG53" s="179"/>
      <c r="AH53" s="14"/>
      <c r="AI53" s="179"/>
      <c r="AJ53" s="240"/>
      <c r="AK53" s="179"/>
      <c r="AL53" s="179"/>
      <c r="AM53" s="179"/>
      <c r="AN53" s="179"/>
      <c r="AO53" s="179"/>
      <c r="AP53" s="179"/>
      <c r="AQ53" s="179"/>
      <c r="AR53" s="38"/>
      <c r="AS53" s="38"/>
      <c r="AT53" s="38"/>
      <c r="AU53" s="38"/>
      <c r="AV53" s="38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</row>
    <row r="54" spans="1:62" ht="11.25" customHeight="1" x14ac:dyDescent="0.2">
      <c r="A54" s="44"/>
      <c r="B54" s="91">
        <v>4</v>
      </c>
      <c r="C54" s="92"/>
      <c r="D54" s="92"/>
      <c r="E54" s="93"/>
      <c r="F54" s="94"/>
      <c r="G54" s="95">
        <f t="shared" si="3"/>
        <v>0</v>
      </c>
      <c r="H54" s="236">
        <v>4</v>
      </c>
      <c r="I54" s="236"/>
      <c r="J54" s="236"/>
      <c r="K54" s="96"/>
      <c r="L54" s="97"/>
      <c r="M54" s="98" t="e">
        <f t="shared" si="0"/>
        <v>#DIV/0!</v>
      </c>
      <c r="N54" s="99">
        <v>4</v>
      </c>
      <c r="O54" s="100"/>
      <c r="P54" s="100"/>
      <c r="Q54" s="101"/>
      <c r="R54" s="102"/>
      <c r="S54" s="103">
        <f t="shared" si="1"/>
        <v>0</v>
      </c>
      <c r="T54" s="91">
        <v>4</v>
      </c>
      <c r="U54" s="92"/>
      <c r="V54" s="92"/>
      <c r="W54" s="93"/>
      <c r="X54" s="105"/>
      <c r="Y54" s="106" t="e">
        <f t="shared" si="2"/>
        <v>#DIV/0!</v>
      </c>
      <c r="Z54" s="61"/>
      <c r="AA54" s="61"/>
      <c r="AB54" s="240"/>
      <c r="AC54" s="242"/>
      <c r="AD54" s="242"/>
      <c r="AE54" s="240"/>
      <c r="AF54" s="242"/>
      <c r="AG54" s="241"/>
      <c r="AH54" s="241"/>
      <c r="AI54" s="241"/>
      <c r="AJ54" s="240"/>
      <c r="AK54" s="241"/>
      <c r="AL54" s="241"/>
      <c r="AM54" s="241"/>
      <c r="AN54" s="241"/>
      <c r="AO54" s="241"/>
      <c r="AP54" s="241"/>
      <c r="AQ54" s="241"/>
      <c r="AR54" s="45"/>
      <c r="AS54" s="45"/>
      <c r="AT54" s="45"/>
      <c r="AU54" s="45"/>
      <c r="AV54" s="45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</row>
    <row r="55" spans="1:62" ht="11.25" customHeight="1" x14ac:dyDescent="0.2">
      <c r="A55" s="44"/>
      <c r="B55" s="91">
        <v>5</v>
      </c>
      <c r="C55" s="92"/>
      <c r="D55" s="92"/>
      <c r="E55" s="93"/>
      <c r="F55" s="94"/>
      <c r="G55" s="95">
        <f t="shared" si="3"/>
        <v>0</v>
      </c>
      <c r="H55" s="236">
        <v>5</v>
      </c>
      <c r="I55" s="236"/>
      <c r="J55" s="236"/>
      <c r="K55" s="96"/>
      <c r="L55" s="97"/>
      <c r="M55" s="98" t="e">
        <f t="shared" si="0"/>
        <v>#DIV/0!</v>
      </c>
      <c r="N55" s="99">
        <v>5</v>
      </c>
      <c r="O55" s="100"/>
      <c r="P55" s="100"/>
      <c r="Q55" s="101"/>
      <c r="R55" s="102"/>
      <c r="S55" s="103">
        <f t="shared" si="1"/>
        <v>0</v>
      </c>
      <c r="T55" s="91">
        <v>5</v>
      </c>
      <c r="U55" s="92"/>
      <c r="V55" s="92"/>
      <c r="W55" s="93"/>
      <c r="X55" s="105"/>
      <c r="Y55" s="106" t="e">
        <f t="shared" si="2"/>
        <v>#DIV/0!</v>
      </c>
      <c r="Z55" s="62"/>
      <c r="AA55" s="62"/>
      <c r="AB55" s="240"/>
      <c r="AC55" s="242"/>
      <c r="AD55" s="242"/>
      <c r="AE55" s="240"/>
      <c r="AF55" s="242"/>
      <c r="AG55" s="240"/>
      <c r="AH55" s="240"/>
      <c r="AI55" s="240"/>
      <c r="AJ55" s="240"/>
      <c r="AK55" s="240"/>
      <c r="AL55" s="240"/>
      <c r="AM55" s="240"/>
      <c r="AN55" s="240"/>
      <c r="AO55" s="240"/>
      <c r="AP55" s="240"/>
      <c r="AQ55" s="240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</row>
    <row r="56" spans="1:62" ht="11.25" customHeight="1" thickBot="1" x14ac:dyDescent="0.25">
      <c r="A56" s="44"/>
      <c r="B56" s="117">
        <v>6</v>
      </c>
      <c r="C56" s="118"/>
      <c r="D56" s="118"/>
      <c r="E56" s="119"/>
      <c r="F56" s="120"/>
      <c r="G56" s="265">
        <f t="shared" si="3"/>
        <v>0</v>
      </c>
      <c r="H56" s="25">
        <v>6</v>
      </c>
      <c r="I56" s="25"/>
      <c r="J56" s="25"/>
      <c r="K56" s="121"/>
      <c r="L56" s="266"/>
      <c r="M56" s="267" t="e">
        <f t="shared" si="0"/>
        <v>#DIV/0!</v>
      </c>
      <c r="N56" s="122">
        <v>6</v>
      </c>
      <c r="O56" s="123"/>
      <c r="P56" s="123"/>
      <c r="Q56" s="124"/>
      <c r="R56" s="125"/>
      <c r="S56" s="126">
        <f t="shared" si="1"/>
        <v>0</v>
      </c>
      <c r="T56" s="117">
        <v>6</v>
      </c>
      <c r="U56" s="118"/>
      <c r="V56" s="118"/>
      <c r="W56" s="119"/>
      <c r="X56" s="127"/>
      <c r="Y56" s="106" t="e">
        <f t="shared" si="2"/>
        <v>#DIV/0!</v>
      </c>
      <c r="Z56" s="62"/>
      <c r="AA56" s="62"/>
      <c r="AB56" s="240"/>
      <c r="AC56" s="242"/>
      <c r="AD56" s="242"/>
      <c r="AE56" s="240"/>
      <c r="AF56" s="242"/>
      <c r="AG56" s="240"/>
      <c r="AH56" s="240"/>
      <c r="AI56" s="240"/>
      <c r="AJ56" s="240"/>
      <c r="AK56" s="240"/>
      <c r="AL56" s="240"/>
      <c r="AM56" s="240"/>
      <c r="AN56" s="240"/>
      <c r="AO56" s="240"/>
      <c r="AP56" s="240"/>
      <c r="AQ56" s="240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</row>
    <row r="57" spans="1:62" ht="11.25" customHeight="1" x14ac:dyDescent="0.2">
      <c r="A57" s="36"/>
      <c r="B57" s="18"/>
      <c r="C57" s="128" t="s">
        <v>7</v>
      </c>
      <c r="D57" s="129" t="s">
        <v>7</v>
      </c>
      <c r="E57" s="18"/>
      <c r="F57" s="18"/>
      <c r="G57" s="130" t="s">
        <v>7</v>
      </c>
      <c r="H57" s="18"/>
      <c r="I57" s="131" t="s">
        <v>7</v>
      </c>
      <c r="J57" s="132" t="s">
        <v>7</v>
      </c>
      <c r="K57" s="18"/>
      <c r="L57" s="18"/>
      <c r="M57" s="260" t="s">
        <v>7</v>
      </c>
      <c r="N57" s="18"/>
      <c r="O57" s="133" t="s">
        <v>7</v>
      </c>
      <c r="P57" s="134" t="s">
        <v>7</v>
      </c>
      <c r="Q57" s="18"/>
      <c r="R57" s="18"/>
      <c r="S57" s="135" t="s">
        <v>7</v>
      </c>
      <c r="T57" s="70"/>
      <c r="U57" s="128" t="s">
        <v>7</v>
      </c>
      <c r="V57" s="129" t="s">
        <v>7</v>
      </c>
      <c r="W57" s="18"/>
      <c r="X57" s="62"/>
      <c r="Y57" s="136" t="s">
        <v>7</v>
      </c>
      <c r="Z57" s="62"/>
      <c r="AA57" s="62"/>
      <c r="AB57" s="240"/>
      <c r="AC57" s="242"/>
      <c r="AD57" s="240"/>
      <c r="AE57" s="240"/>
      <c r="AF57" s="240"/>
      <c r="AG57" s="240"/>
      <c r="AH57" s="240"/>
      <c r="AI57" s="240"/>
      <c r="AJ57" s="240"/>
      <c r="AK57" s="240"/>
      <c r="AL57" s="240"/>
      <c r="AM57" s="240"/>
      <c r="AN57" s="240"/>
      <c r="AO57" s="240"/>
      <c r="AP57" s="240"/>
      <c r="AQ57" s="240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</row>
    <row r="58" spans="1:62" ht="13.5" customHeight="1" thickBot="1" x14ac:dyDescent="0.25">
      <c r="A58" s="39"/>
      <c r="B58" s="39"/>
      <c r="C58" s="137" t="e">
        <f>AVERAGE(C33:C56)</f>
        <v>#DIV/0!</v>
      </c>
      <c r="D58" s="138" t="e">
        <f>AVERAGE(D33:D56)</f>
        <v>#DIV/0!</v>
      </c>
      <c r="E58" s="139"/>
      <c r="F58" s="139"/>
      <c r="G58" s="140">
        <f>AVERAGE(G33:G56)</f>
        <v>0</v>
      </c>
      <c r="H58" s="139"/>
      <c r="I58" s="141" t="e">
        <f>AVERAGE(I33:I56)</f>
        <v>#DIV/0!</v>
      </c>
      <c r="J58" s="142" t="e">
        <f>AVERAGE(J33:J56)</f>
        <v>#DIV/0!</v>
      </c>
      <c r="K58" s="139"/>
      <c r="L58" s="139"/>
      <c r="M58" s="143" t="e">
        <f>AVERAGE(M33:M56)</f>
        <v>#DIV/0!</v>
      </c>
      <c r="N58" s="139"/>
      <c r="O58" s="144" t="e">
        <f>AVERAGE(O33:O56)</f>
        <v>#DIV/0!</v>
      </c>
      <c r="P58" s="145" t="e">
        <f>AVERAGE(P33:P56)</f>
        <v>#DIV/0!</v>
      </c>
      <c r="Q58" s="139"/>
      <c r="R58" s="139"/>
      <c r="S58" s="140">
        <f>AVERAGE(S33:S56)</f>
        <v>0</v>
      </c>
      <c r="T58" s="139"/>
      <c r="U58" s="137" t="e">
        <f>AVERAGE(U33:U56)</f>
        <v>#DIV/0!</v>
      </c>
      <c r="V58" s="138" t="e">
        <f>AVERAGE(V33:V56)</f>
        <v>#DIV/0!</v>
      </c>
      <c r="W58" s="139"/>
      <c r="X58" s="39"/>
      <c r="Y58" s="146" t="e">
        <f>AVERAGE(Y33:Y56)</f>
        <v>#DIV/0!</v>
      </c>
      <c r="Z58" s="39"/>
      <c r="AA58" s="39"/>
      <c r="AB58" s="180"/>
      <c r="AC58" s="180"/>
      <c r="AD58" s="180"/>
      <c r="AE58" s="180"/>
      <c r="AF58" s="180"/>
      <c r="AG58" s="180"/>
      <c r="AH58" s="180"/>
      <c r="AI58" s="180"/>
      <c r="AJ58" s="180"/>
      <c r="AK58" s="180"/>
      <c r="AL58" s="180"/>
      <c r="AM58" s="180"/>
      <c r="AN58" s="180"/>
      <c r="AO58" s="180"/>
      <c r="AP58" s="180"/>
      <c r="AQ58" s="180"/>
      <c r="AR58" s="40"/>
      <c r="AS58" s="40"/>
      <c r="AT58" s="40"/>
      <c r="AU58" s="40"/>
      <c r="AV58" s="40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</row>
    <row r="59" spans="1:62" ht="11.25" customHeight="1" x14ac:dyDescent="0.2">
      <c r="A59" s="180"/>
      <c r="B59" s="180"/>
      <c r="C59" s="239"/>
      <c r="D59" s="239"/>
      <c r="E59" s="239"/>
      <c r="F59" s="239"/>
      <c r="G59" s="239"/>
      <c r="H59" s="239"/>
      <c r="I59" s="239"/>
      <c r="J59" s="239"/>
      <c r="K59" s="238"/>
      <c r="L59" s="238"/>
      <c r="M59" s="238"/>
      <c r="N59" s="238"/>
      <c r="O59" s="14"/>
      <c r="P59" s="238"/>
      <c r="Q59" s="238"/>
      <c r="R59" s="238"/>
      <c r="S59" s="238"/>
      <c r="T59" s="14"/>
      <c r="U59" s="238"/>
      <c r="V59" s="180"/>
      <c r="W59" s="180"/>
      <c r="X59" s="180"/>
      <c r="Y59" s="180"/>
      <c r="Z59" s="180"/>
      <c r="AA59" s="180"/>
      <c r="AB59" s="180"/>
      <c r="AC59" s="180"/>
      <c r="AD59" s="180"/>
      <c r="AE59" s="180"/>
      <c r="AF59" s="180"/>
      <c r="AG59" s="180"/>
      <c r="AH59" s="180"/>
      <c r="AI59" s="180"/>
      <c r="AJ59" s="180"/>
      <c r="AK59" s="180"/>
      <c r="AL59" s="180"/>
      <c r="AM59" s="180"/>
      <c r="AN59" s="180"/>
      <c r="AO59" s="180"/>
      <c r="AP59" s="180"/>
      <c r="AQ59" s="180"/>
      <c r="AR59" s="40"/>
      <c r="AS59" s="40"/>
      <c r="AT59" s="40"/>
      <c r="AU59" s="40"/>
      <c r="AV59" s="40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</row>
    <row r="60" spans="1:62" x14ac:dyDescent="0.2">
      <c r="A60" s="240"/>
      <c r="B60" s="240"/>
      <c r="C60" s="240"/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  <c r="O60" s="240"/>
      <c r="P60" s="240"/>
      <c r="Q60" s="240"/>
      <c r="R60" s="240"/>
      <c r="S60" s="240"/>
      <c r="T60" s="240"/>
      <c r="U60" s="240"/>
      <c r="V60" s="240"/>
      <c r="W60" s="240"/>
      <c r="X60" s="240"/>
      <c r="Y60" s="240"/>
      <c r="Z60" s="240"/>
      <c r="AA60" s="240"/>
      <c r="AB60" s="240"/>
      <c r="AC60" s="240"/>
      <c r="AD60" s="240"/>
      <c r="AE60" s="240"/>
      <c r="AF60" s="240"/>
      <c r="AG60" s="240"/>
      <c r="AH60" s="240"/>
      <c r="AI60" s="240"/>
      <c r="AJ60" s="240"/>
      <c r="AK60" s="240"/>
      <c r="AL60" s="240"/>
      <c r="AM60" s="240"/>
      <c r="AN60" s="240"/>
      <c r="AO60" s="240"/>
      <c r="AP60" s="240"/>
      <c r="AQ60" s="240"/>
    </row>
    <row r="61" spans="1:62" x14ac:dyDescent="0.2">
      <c r="A61" s="240"/>
      <c r="B61" s="240"/>
      <c r="C61" s="240"/>
      <c r="D61" s="240"/>
      <c r="E61" s="240"/>
      <c r="F61" s="240"/>
      <c r="G61" s="240"/>
      <c r="H61" s="240"/>
      <c r="I61" s="240"/>
      <c r="J61" s="240"/>
      <c r="K61" s="240"/>
      <c r="L61" s="240"/>
      <c r="M61" s="240"/>
      <c r="N61" s="240"/>
      <c r="O61" s="240"/>
      <c r="P61" s="240"/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240"/>
      <c r="AB61" s="240"/>
      <c r="AC61" s="240"/>
      <c r="AD61" s="240"/>
      <c r="AE61" s="240"/>
      <c r="AF61" s="240"/>
      <c r="AG61" s="240"/>
      <c r="AH61" s="240"/>
      <c r="AI61" s="240"/>
      <c r="AJ61" s="240"/>
      <c r="AK61" s="240"/>
      <c r="AL61" s="240"/>
      <c r="AM61" s="240"/>
      <c r="AN61" s="240"/>
      <c r="AO61" s="240"/>
      <c r="AP61" s="240"/>
      <c r="AQ61" s="240"/>
    </row>
    <row r="62" spans="1:62" x14ac:dyDescent="0.2">
      <c r="A62" s="240"/>
      <c r="B62" s="240"/>
      <c r="C62" s="240"/>
      <c r="D62" s="240"/>
      <c r="E62" s="240"/>
      <c r="F62" s="240"/>
      <c r="G62" s="240"/>
      <c r="H62" s="240"/>
      <c r="I62" s="240"/>
      <c r="J62" s="240"/>
      <c r="K62" s="240"/>
      <c r="L62" s="240"/>
      <c r="M62" s="240"/>
      <c r="N62" s="240"/>
      <c r="O62" s="240"/>
      <c r="P62" s="240"/>
      <c r="Q62" s="240"/>
      <c r="R62" s="240"/>
      <c r="S62" s="240"/>
      <c r="T62" s="240"/>
      <c r="U62" s="240"/>
      <c r="V62" s="240"/>
      <c r="W62" s="240"/>
      <c r="X62" s="240"/>
      <c r="Y62" s="240"/>
      <c r="Z62" s="240"/>
      <c r="AA62" s="240"/>
      <c r="AB62" s="240"/>
      <c r="AC62" s="240"/>
      <c r="AD62" s="240"/>
      <c r="AE62" s="240"/>
      <c r="AF62" s="240"/>
      <c r="AG62" s="240"/>
      <c r="AH62" s="240"/>
      <c r="AI62" s="240"/>
      <c r="AJ62" s="240"/>
      <c r="AK62" s="240"/>
      <c r="AL62" s="240"/>
      <c r="AM62" s="240"/>
      <c r="AN62" s="240"/>
      <c r="AO62" s="240"/>
      <c r="AP62" s="240"/>
      <c r="AQ62" s="240"/>
    </row>
    <row r="63" spans="1:62" x14ac:dyDescent="0.2">
      <c r="A63" s="240"/>
      <c r="B63" s="240"/>
      <c r="C63" s="240"/>
      <c r="D63" s="240"/>
      <c r="E63" s="240"/>
      <c r="F63" s="240"/>
      <c r="G63" s="240"/>
      <c r="H63" s="240"/>
      <c r="I63" s="240"/>
      <c r="J63" s="240"/>
      <c r="K63" s="240"/>
      <c r="L63" s="240"/>
      <c r="M63" s="240"/>
      <c r="N63" s="240"/>
      <c r="O63" s="240"/>
      <c r="P63" s="240"/>
      <c r="Q63" s="240"/>
      <c r="R63" s="240"/>
      <c r="S63" s="240"/>
      <c r="T63" s="240"/>
      <c r="U63" s="240"/>
      <c r="V63" s="240"/>
      <c r="W63" s="240"/>
      <c r="X63" s="240"/>
      <c r="Y63" s="240"/>
      <c r="Z63" s="240"/>
      <c r="AA63" s="240"/>
      <c r="AB63" s="240"/>
      <c r="AC63" s="240"/>
      <c r="AD63" s="240"/>
      <c r="AE63" s="240"/>
      <c r="AF63" s="240"/>
      <c r="AG63" s="240"/>
      <c r="AH63" s="240"/>
      <c r="AI63" s="240"/>
      <c r="AJ63" s="240"/>
      <c r="AK63" s="240"/>
      <c r="AL63" s="240"/>
      <c r="AM63" s="240"/>
      <c r="AN63" s="240"/>
      <c r="AO63" s="240"/>
      <c r="AP63" s="240"/>
      <c r="AQ63" s="240"/>
    </row>
    <row r="64" spans="1:62" x14ac:dyDescent="0.2">
      <c r="A64" s="241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1"/>
      <c r="U64" s="241"/>
      <c r="V64" s="240"/>
      <c r="W64" s="240"/>
      <c r="X64" s="240"/>
      <c r="Y64" s="240"/>
      <c r="Z64" s="240"/>
      <c r="AA64" s="240"/>
      <c r="AB64" s="240"/>
      <c r="AC64" s="240"/>
      <c r="AD64" s="240"/>
      <c r="AE64" s="240"/>
      <c r="AF64" s="240"/>
      <c r="AG64" s="240"/>
      <c r="AH64" s="240"/>
      <c r="AI64" s="240"/>
      <c r="AJ64" s="240"/>
      <c r="AK64" s="240"/>
      <c r="AL64" s="240"/>
      <c r="AM64" s="240"/>
      <c r="AN64" s="240"/>
      <c r="AO64" s="240"/>
      <c r="AP64" s="240"/>
      <c r="AQ64" s="240"/>
    </row>
    <row r="65" spans="1:43" x14ac:dyDescent="0.2">
      <c r="A65" s="241"/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241"/>
      <c r="S65" s="241"/>
      <c r="T65" s="241"/>
      <c r="U65" s="241"/>
      <c r="V65" s="240"/>
      <c r="W65" s="240"/>
      <c r="X65" s="240"/>
      <c r="Y65" s="240"/>
      <c r="Z65" s="240"/>
      <c r="AA65" s="240"/>
      <c r="AB65" s="240"/>
      <c r="AC65" s="240"/>
      <c r="AD65" s="240"/>
      <c r="AE65" s="240"/>
      <c r="AF65" s="240"/>
      <c r="AG65" s="240"/>
      <c r="AH65" s="240"/>
      <c r="AI65" s="240"/>
      <c r="AJ65" s="240"/>
      <c r="AK65" s="240"/>
      <c r="AL65" s="240"/>
      <c r="AM65" s="240"/>
      <c r="AN65" s="240"/>
      <c r="AO65" s="240"/>
      <c r="AP65" s="240"/>
      <c r="AQ65" s="240"/>
    </row>
    <row r="66" spans="1:43" x14ac:dyDescent="0.2">
      <c r="A66" s="241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41"/>
      <c r="S66" s="241"/>
      <c r="T66" s="241"/>
      <c r="U66" s="241"/>
      <c r="V66" s="240"/>
      <c r="W66" s="240"/>
      <c r="X66" s="240"/>
      <c r="Y66" s="240"/>
      <c r="Z66" s="240"/>
      <c r="AA66" s="240"/>
      <c r="AB66" s="240"/>
      <c r="AC66" s="240"/>
      <c r="AD66" s="240"/>
      <c r="AE66" s="240"/>
      <c r="AF66" s="240"/>
      <c r="AG66" s="240"/>
      <c r="AH66" s="240"/>
      <c r="AI66" s="240"/>
      <c r="AJ66" s="240"/>
      <c r="AK66" s="240"/>
      <c r="AL66" s="240"/>
      <c r="AM66" s="240"/>
      <c r="AN66" s="240"/>
      <c r="AO66" s="240"/>
      <c r="AP66" s="240"/>
      <c r="AQ66" s="240"/>
    </row>
    <row r="67" spans="1:43" x14ac:dyDescent="0.2">
      <c r="A67" s="241"/>
      <c r="B67" s="241"/>
      <c r="C67" s="234"/>
      <c r="D67" s="234"/>
      <c r="E67" s="234"/>
      <c r="F67" s="234"/>
      <c r="G67" s="241"/>
      <c r="H67" s="234"/>
      <c r="I67" s="234"/>
      <c r="J67" s="234"/>
      <c r="K67" s="234"/>
      <c r="L67" s="241"/>
      <c r="M67" s="234"/>
      <c r="N67" s="234"/>
      <c r="O67" s="234"/>
      <c r="P67" s="234"/>
      <c r="Q67" s="241"/>
      <c r="R67" s="234"/>
      <c r="S67" s="234"/>
      <c r="T67" s="234"/>
      <c r="U67" s="234"/>
      <c r="V67" s="240"/>
      <c r="W67" s="240"/>
      <c r="X67" s="240"/>
      <c r="Y67" s="240"/>
      <c r="Z67" s="240"/>
      <c r="AA67" s="240"/>
      <c r="AB67" s="240"/>
      <c r="AC67" s="240"/>
      <c r="AD67" s="240"/>
      <c r="AE67" s="240"/>
      <c r="AF67" s="240"/>
      <c r="AG67" s="240"/>
      <c r="AH67" s="240"/>
      <c r="AI67" s="240"/>
      <c r="AJ67" s="240"/>
      <c r="AK67" s="240"/>
      <c r="AL67" s="240"/>
      <c r="AM67" s="240"/>
      <c r="AN67" s="240"/>
      <c r="AO67" s="240"/>
      <c r="AP67" s="240"/>
      <c r="AQ67" s="240"/>
    </row>
    <row r="68" spans="1:43" x14ac:dyDescent="0.2">
      <c r="A68" s="400"/>
      <c r="B68" s="238"/>
      <c r="C68" s="238"/>
      <c r="D68" s="238"/>
      <c r="E68" s="238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238"/>
      <c r="U68" s="238"/>
      <c r="V68" s="240"/>
      <c r="W68" s="240"/>
      <c r="X68" s="240"/>
      <c r="Y68" s="240"/>
      <c r="Z68" s="240"/>
      <c r="AA68" s="240"/>
      <c r="AB68" s="240"/>
      <c r="AC68" s="240"/>
      <c r="AD68" s="240"/>
      <c r="AE68" s="240"/>
      <c r="AF68" s="240"/>
      <c r="AG68" s="240"/>
      <c r="AH68" s="240"/>
      <c r="AI68" s="240"/>
      <c r="AJ68" s="240"/>
      <c r="AK68" s="240"/>
      <c r="AL68" s="240"/>
      <c r="AM68" s="240"/>
      <c r="AN68" s="240"/>
      <c r="AO68" s="240"/>
      <c r="AP68" s="240"/>
      <c r="AQ68" s="240"/>
    </row>
    <row r="69" spans="1:43" x14ac:dyDescent="0.2">
      <c r="A69" s="400"/>
      <c r="B69" s="238"/>
      <c r="C69" s="238"/>
      <c r="D69" s="238"/>
      <c r="E69" s="238"/>
      <c r="F69" s="238"/>
      <c r="G69" s="238"/>
      <c r="H69" s="238"/>
      <c r="I69" s="238"/>
      <c r="J69" s="238"/>
      <c r="K69" s="238"/>
      <c r="L69" s="238"/>
      <c r="M69" s="238"/>
      <c r="N69" s="238"/>
      <c r="O69" s="238"/>
      <c r="P69" s="238"/>
      <c r="Q69" s="238"/>
      <c r="R69" s="238"/>
      <c r="S69" s="238"/>
      <c r="T69" s="238"/>
      <c r="U69" s="238"/>
      <c r="V69" s="240"/>
      <c r="W69" s="240"/>
      <c r="X69" s="240"/>
      <c r="Y69" s="240"/>
      <c r="Z69" s="240"/>
      <c r="AA69" s="240"/>
      <c r="AB69" s="240"/>
      <c r="AC69" s="240"/>
      <c r="AD69" s="240"/>
      <c r="AE69" s="240"/>
      <c r="AF69" s="240"/>
      <c r="AG69" s="240"/>
      <c r="AH69" s="240"/>
      <c r="AI69" s="240"/>
      <c r="AJ69" s="240"/>
      <c r="AK69" s="240"/>
      <c r="AL69" s="240"/>
      <c r="AM69" s="240"/>
      <c r="AN69" s="240"/>
      <c r="AO69" s="240"/>
      <c r="AP69" s="240"/>
      <c r="AQ69" s="240"/>
    </row>
    <row r="70" spans="1:43" x14ac:dyDescent="0.2">
      <c r="A70" s="400"/>
      <c r="B70" s="238"/>
      <c r="C70" s="238"/>
      <c r="D70" s="238"/>
      <c r="E70" s="238"/>
      <c r="F70" s="238"/>
      <c r="G70" s="238"/>
      <c r="H70" s="238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40"/>
      <c r="W70" s="240"/>
      <c r="X70" s="240"/>
      <c r="Y70" s="240"/>
      <c r="Z70" s="240"/>
      <c r="AA70" s="240"/>
      <c r="AB70" s="240"/>
      <c r="AC70" s="240"/>
      <c r="AD70" s="240"/>
      <c r="AE70" s="240"/>
      <c r="AF70" s="240"/>
      <c r="AG70" s="240"/>
      <c r="AH70" s="240"/>
      <c r="AI70" s="240"/>
      <c r="AJ70" s="240"/>
      <c r="AK70" s="240"/>
      <c r="AL70" s="240"/>
      <c r="AM70" s="240"/>
      <c r="AN70" s="240"/>
      <c r="AO70" s="240"/>
      <c r="AP70" s="240"/>
      <c r="AQ70" s="240"/>
    </row>
    <row r="71" spans="1:43" x14ac:dyDescent="0.2">
      <c r="A71" s="400"/>
      <c r="B71" s="238"/>
      <c r="C71" s="238"/>
      <c r="D71" s="238"/>
      <c r="E71" s="238"/>
      <c r="F71" s="234"/>
      <c r="G71" s="238"/>
      <c r="H71" s="238"/>
      <c r="I71" s="238"/>
      <c r="J71" s="238"/>
      <c r="K71" s="234"/>
      <c r="L71" s="238"/>
      <c r="M71" s="238"/>
      <c r="N71" s="238"/>
      <c r="O71" s="238"/>
      <c r="P71" s="238"/>
      <c r="Q71" s="238"/>
      <c r="R71" s="238"/>
      <c r="S71" s="238"/>
      <c r="T71" s="238"/>
      <c r="U71" s="234"/>
      <c r="V71" s="240"/>
      <c r="W71" s="240"/>
      <c r="X71" s="240"/>
      <c r="Y71" s="240"/>
      <c r="Z71" s="240"/>
      <c r="AA71" s="240"/>
      <c r="AB71" s="240"/>
      <c r="AC71" s="240"/>
      <c r="AD71" s="240"/>
      <c r="AE71" s="240"/>
      <c r="AF71" s="240"/>
      <c r="AG71" s="240"/>
      <c r="AH71" s="240"/>
      <c r="AI71" s="240"/>
      <c r="AJ71" s="240"/>
      <c r="AK71" s="240"/>
      <c r="AL71" s="240"/>
      <c r="AM71" s="240"/>
      <c r="AN71" s="240"/>
      <c r="AO71" s="240"/>
      <c r="AP71" s="240"/>
      <c r="AQ71" s="240"/>
    </row>
    <row r="72" spans="1:43" x14ac:dyDescent="0.2">
      <c r="A72" s="400"/>
      <c r="B72" s="238"/>
      <c r="C72" s="238"/>
      <c r="D72" s="238"/>
      <c r="E72" s="238"/>
      <c r="F72" s="234"/>
      <c r="G72" s="238"/>
      <c r="H72" s="238"/>
      <c r="I72" s="238"/>
      <c r="J72" s="238"/>
      <c r="K72" s="234"/>
      <c r="L72" s="238"/>
      <c r="M72" s="238"/>
      <c r="N72" s="238"/>
      <c r="O72" s="238"/>
      <c r="P72" s="234"/>
      <c r="Q72" s="238"/>
      <c r="R72" s="238"/>
      <c r="S72" s="238"/>
      <c r="T72" s="238"/>
      <c r="U72" s="234"/>
      <c r="V72" s="240"/>
      <c r="W72" s="240"/>
      <c r="X72" s="240"/>
      <c r="Y72" s="240"/>
      <c r="Z72" s="240"/>
      <c r="AA72" s="240"/>
      <c r="AB72" s="240"/>
      <c r="AC72" s="240"/>
      <c r="AD72" s="240"/>
      <c r="AE72" s="240"/>
      <c r="AF72" s="240"/>
      <c r="AG72" s="240"/>
      <c r="AH72" s="240"/>
      <c r="AI72" s="240"/>
      <c r="AJ72" s="240"/>
      <c r="AK72" s="240"/>
      <c r="AL72" s="240"/>
      <c r="AM72" s="240"/>
      <c r="AN72" s="240"/>
      <c r="AO72" s="240"/>
      <c r="AP72" s="240"/>
      <c r="AQ72" s="240"/>
    </row>
    <row r="73" spans="1:43" x14ac:dyDescent="0.2">
      <c r="A73" s="400"/>
      <c r="B73" s="238"/>
      <c r="C73" s="238"/>
      <c r="D73" s="238"/>
      <c r="E73" s="238"/>
      <c r="F73" s="234"/>
      <c r="G73" s="238"/>
      <c r="H73" s="238"/>
      <c r="I73" s="238"/>
      <c r="J73" s="238"/>
      <c r="K73" s="234"/>
      <c r="L73" s="238"/>
      <c r="M73" s="238"/>
      <c r="N73" s="238"/>
      <c r="O73" s="238"/>
      <c r="P73" s="234"/>
      <c r="Q73" s="238"/>
      <c r="R73" s="238"/>
      <c r="S73" s="238"/>
      <c r="T73" s="238"/>
      <c r="U73" s="234"/>
      <c r="V73" s="240"/>
      <c r="W73" s="240"/>
      <c r="X73" s="240"/>
      <c r="Y73" s="240"/>
      <c r="Z73" s="240"/>
      <c r="AA73" s="240"/>
      <c r="AB73" s="240"/>
      <c r="AC73" s="240"/>
      <c r="AD73" s="240"/>
      <c r="AE73" s="240"/>
      <c r="AF73" s="240"/>
      <c r="AG73" s="240"/>
      <c r="AH73" s="240"/>
      <c r="AI73" s="240"/>
      <c r="AJ73" s="240"/>
      <c r="AK73" s="240"/>
      <c r="AL73" s="240"/>
      <c r="AM73" s="240"/>
      <c r="AN73" s="240"/>
      <c r="AO73" s="240"/>
      <c r="AP73" s="240"/>
      <c r="AQ73" s="240"/>
    </row>
    <row r="74" spans="1:43" x14ac:dyDescent="0.2">
      <c r="A74" s="400"/>
      <c r="B74" s="238"/>
      <c r="C74" s="238"/>
      <c r="D74" s="238"/>
      <c r="E74" s="238"/>
      <c r="F74" s="238"/>
      <c r="G74" s="238"/>
      <c r="H74" s="238"/>
      <c r="I74" s="238"/>
      <c r="J74" s="238"/>
      <c r="K74" s="238"/>
      <c r="L74" s="238"/>
      <c r="M74" s="238"/>
      <c r="N74" s="238"/>
      <c r="O74" s="238"/>
      <c r="P74" s="238"/>
      <c r="Q74" s="238"/>
      <c r="R74" s="238"/>
      <c r="S74" s="238"/>
      <c r="T74" s="238"/>
      <c r="U74" s="238"/>
      <c r="V74" s="240"/>
      <c r="W74" s="240"/>
      <c r="X74" s="240"/>
      <c r="Y74" s="240"/>
      <c r="Z74" s="240"/>
      <c r="AA74" s="240"/>
      <c r="AB74" s="240"/>
      <c r="AC74" s="240"/>
      <c r="AD74" s="240"/>
      <c r="AE74" s="240"/>
      <c r="AF74" s="240"/>
      <c r="AG74" s="240"/>
      <c r="AH74" s="240"/>
      <c r="AI74" s="240"/>
      <c r="AJ74" s="240"/>
      <c r="AK74" s="240"/>
      <c r="AL74" s="240"/>
      <c r="AM74" s="240"/>
      <c r="AN74" s="240"/>
      <c r="AO74" s="240"/>
      <c r="AP74" s="240"/>
      <c r="AQ74" s="240"/>
    </row>
    <row r="75" spans="1:43" x14ac:dyDescent="0.2">
      <c r="A75" s="400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8"/>
      <c r="S75" s="238"/>
      <c r="T75" s="238"/>
      <c r="U75" s="238"/>
      <c r="V75" s="240"/>
      <c r="W75" s="240"/>
      <c r="X75" s="240"/>
      <c r="Y75" s="240"/>
      <c r="Z75" s="240"/>
      <c r="AA75" s="240"/>
      <c r="AB75" s="240"/>
      <c r="AC75" s="240"/>
      <c r="AD75" s="240"/>
      <c r="AE75" s="240"/>
      <c r="AF75" s="240"/>
      <c r="AG75" s="240"/>
      <c r="AH75" s="240"/>
      <c r="AI75" s="240"/>
      <c r="AJ75" s="240"/>
      <c r="AK75" s="240"/>
      <c r="AL75" s="240"/>
      <c r="AM75" s="240"/>
      <c r="AN75" s="240"/>
      <c r="AO75" s="240"/>
      <c r="AP75" s="240"/>
      <c r="AQ75" s="240"/>
    </row>
    <row r="76" spans="1:43" x14ac:dyDescent="0.2">
      <c r="A76" s="400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8"/>
      <c r="S76" s="238"/>
      <c r="T76" s="238"/>
      <c r="U76" s="238"/>
      <c r="V76" s="240"/>
      <c r="W76" s="240"/>
      <c r="X76" s="240"/>
      <c r="Y76" s="240"/>
      <c r="Z76" s="240"/>
      <c r="AA76" s="240"/>
      <c r="AB76" s="240"/>
      <c r="AC76" s="240"/>
      <c r="AD76" s="240"/>
      <c r="AE76" s="240"/>
      <c r="AF76" s="240"/>
      <c r="AG76" s="240"/>
      <c r="AH76" s="240"/>
      <c r="AI76" s="240"/>
      <c r="AJ76" s="240"/>
      <c r="AK76" s="240"/>
      <c r="AL76" s="240"/>
      <c r="AM76" s="240"/>
      <c r="AN76" s="240"/>
      <c r="AO76" s="240"/>
      <c r="AP76" s="240"/>
      <c r="AQ76" s="240"/>
    </row>
    <row r="77" spans="1:43" x14ac:dyDescent="0.2">
      <c r="A77" s="400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8"/>
      <c r="S77" s="238"/>
      <c r="T77" s="238"/>
      <c r="U77" s="238"/>
      <c r="V77" s="240"/>
      <c r="W77" s="240"/>
      <c r="X77" s="240"/>
      <c r="Y77" s="240"/>
      <c r="Z77" s="240"/>
      <c r="AA77" s="240"/>
      <c r="AB77" s="240"/>
      <c r="AC77" s="240"/>
      <c r="AD77" s="240"/>
      <c r="AE77" s="240"/>
      <c r="AF77" s="240"/>
      <c r="AG77" s="240"/>
      <c r="AH77" s="240"/>
      <c r="AI77" s="240"/>
      <c r="AJ77" s="240"/>
      <c r="AK77" s="240"/>
      <c r="AL77" s="240"/>
      <c r="AM77" s="240"/>
      <c r="AN77" s="240"/>
      <c r="AO77" s="240"/>
      <c r="AP77" s="240"/>
      <c r="AQ77" s="240"/>
    </row>
    <row r="78" spans="1:43" x14ac:dyDescent="0.2">
      <c r="A78" s="400"/>
      <c r="B78" s="238"/>
      <c r="C78" s="238"/>
      <c r="D78" s="238"/>
      <c r="E78" s="238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38"/>
      <c r="T78" s="238"/>
      <c r="U78" s="238"/>
      <c r="V78" s="240"/>
      <c r="W78" s="240"/>
      <c r="X78" s="240"/>
      <c r="Y78" s="240"/>
      <c r="Z78" s="240"/>
      <c r="AA78" s="240"/>
      <c r="AB78" s="240"/>
      <c r="AC78" s="240"/>
      <c r="AD78" s="240"/>
      <c r="AE78" s="240"/>
      <c r="AF78" s="240"/>
      <c r="AG78" s="240"/>
      <c r="AH78" s="240"/>
      <c r="AI78" s="240"/>
      <c r="AJ78" s="240"/>
      <c r="AK78" s="240"/>
      <c r="AL78" s="240"/>
      <c r="AM78" s="240"/>
      <c r="AN78" s="240"/>
      <c r="AO78" s="240"/>
      <c r="AP78" s="240"/>
      <c r="AQ78" s="240"/>
    </row>
    <row r="79" spans="1:43" x14ac:dyDescent="0.2">
      <c r="A79" s="400"/>
      <c r="B79" s="238"/>
      <c r="C79" s="238"/>
      <c r="D79" s="238"/>
      <c r="E79" s="238"/>
      <c r="F79" s="238"/>
      <c r="G79" s="238"/>
      <c r="H79" s="238"/>
      <c r="I79" s="238"/>
      <c r="J79" s="238"/>
      <c r="K79" s="238"/>
      <c r="L79" s="238"/>
      <c r="M79" s="238"/>
      <c r="N79" s="238"/>
      <c r="O79" s="238"/>
      <c r="P79" s="238"/>
      <c r="Q79" s="238"/>
      <c r="R79" s="238"/>
      <c r="S79" s="238"/>
      <c r="T79" s="238"/>
      <c r="U79" s="238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240"/>
      <c r="AH79" s="240"/>
      <c r="AI79" s="240"/>
      <c r="AJ79" s="240"/>
      <c r="AK79" s="240"/>
      <c r="AL79" s="240"/>
      <c r="AM79" s="240"/>
      <c r="AN79" s="240"/>
      <c r="AO79" s="240"/>
      <c r="AP79" s="240"/>
      <c r="AQ79" s="240"/>
    </row>
    <row r="80" spans="1:43" x14ac:dyDescent="0.2">
      <c r="A80" s="400"/>
      <c r="B80" s="238"/>
      <c r="C80" s="238"/>
      <c r="D80" s="238"/>
      <c r="E80" s="238"/>
      <c r="F80" s="238"/>
      <c r="G80" s="238"/>
      <c r="H80" s="238"/>
      <c r="I80" s="238"/>
      <c r="J80" s="238"/>
      <c r="K80" s="238"/>
      <c r="L80" s="238"/>
      <c r="M80" s="238"/>
      <c r="N80" s="238"/>
      <c r="O80" s="238"/>
      <c r="P80" s="238"/>
      <c r="Q80" s="238"/>
      <c r="R80" s="238"/>
      <c r="S80" s="238"/>
      <c r="T80" s="238"/>
      <c r="U80" s="238"/>
      <c r="V80" s="240"/>
      <c r="W80" s="240"/>
      <c r="X80" s="240"/>
      <c r="Y80" s="240"/>
      <c r="Z80" s="240"/>
      <c r="AA80" s="240"/>
      <c r="AB80" s="240"/>
      <c r="AC80" s="240"/>
      <c r="AD80" s="240"/>
      <c r="AE80" s="240"/>
      <c r="AF80" s="240"/>
      <c r="AG80" s="240"/>
      <c r="AH80" s="240"/>
      <c r="AI80" s="240"/>
      <c r="AJ80" s="240"/>
      <c r="AK80" s="240"/>
      <c r="AL80" s="240"/>
      <c r="AM80" s="240"/>
      <c r="AN80" s="240"/>
      <c r="AO80" s="240"/>
      <c r="AP80" s="240"/>
      <c r="AQ80" s="240"/>
    </row>
    <row r="81" spans="1:43" x14ac:dyDescent="0.2">
      <c r="A81" s="400"/>
      <c r="B81" s="238"/>
      <c r="C81" s="238"/>
      <c r="D81" s="238"/>
      <c r="E81" s="238"/>
      <c r="F81" s="238"/>
      <c r="G81" s="238"/>
      <c r="H81" s="238"/>
      <c r="I81" s="238"/>
      <c r="J81" s="238"/>
      <c r="K81" s="238"/>
      <c r="L81" s="238"/>
      <c r="M81" s="238"/>
      <c r="N81" s="238"/>
      <c r="O81" s="238"/>
      <c r="P81" s="238"/>
      <c r="Q81" s="238"/>
      <c r="R81" s="238"/>
      <c r="S81" s="238"/>
      <c r="T81" s="238"/>
      <c r="U81" s="238"/>
      <c r="V81" s="240"/>
      <c r="W81" s="240"/>
      <c r="X81" s="240"/>
      <c r="Y81" s="240"/>
      <c r="Z81" s="240"/>
      <c r="AA81" s="240"/>
      <c r="AB81" s="240"/>
      <c r="AC81" s="240"/>
      <c r="AD81" s="240"/>
      <c r="AE81" s="240"/>
      <c r="AF81" s="240"/>
      <c r="AG81" s="240"/>
      <c r="AH81" s="240"/>
      <c r="AI81" s="240"/>
      <c r="AJ81" s="240"/>
      <c r="AK81" s="240"/>
      <c r="AL81" s="240"/>
      <c r="AM81" s="240"/>
      <c r="AN81" s="240"/>
      <c r="AO81" s="240"/>
      <c r="AP81" s="240"/>
      <c r="AQ81" s="240"/>
    </row>
    <row r="82" spans="1:43" x14ac:dyDescent="0.2">
      <c r="A82" s="400"/>
      <c r="B82" s="238"/>
      <c r="C82" s="238"/>
      <c r="D82" s="238"/>
      <c r="E82" s="238"/>
      <c r="F82" s="238"/>
      <c r="G82" s="238"/>
      <c r="H82" s="238"/>
      <c r="I82" s="238"/>
      <c r="J82" s="238"/>
      <c r="K82" s="238"/>
      <c r="L82" s="238"/>
      <c r="M82" s="238"/>
      <c r="N82" s="238"/>
      <c r="O82" s="238"/>
      <c r="P82" s="238"/>
      <c r="Q82" s="238"/>
      <c r="R82" s="238"/>
      <c r="S82" s="238"/>
      <c r="T82" s="238"/>
      <c r="U82" s="238"/>
      <c r="V82" s="240"/>
      <c r="W82" s="240"/>
      <c r="X82" s="240"/>
      <c r="Y82" s="240"/>
      <c r="Z82" s="240"/>
      <c r="AA82" s="240"/>
      <c r="AB82" s="240"/>
      <c r="AC82" s="240"/>
      <c r="AD82" s="240"/>
      <c r="AE82" s="240"/>
      <c r="AF82" s="240"/>
      <c r="AG82" s="240"/>
      <c r="AH82" s="240"/>
      <c r="AI82" s="240"/>
      <c r="AJ82" s="240"/>
      <c r="AK82" s="240"/>
      <c r="AL82" s="240"/>
      <c r="AM82" s="240"/>
      <c r="AN82" s="240"/>
      <c r="AO82" s="240"/>
      <c r="AP82" s="240"/>
      <c r="AQ82" s="240"/>
    </row>
    <row r="83" spans="1:43" x14ac:dyDescent="0.2">
      <c r="A83" s="400"/>
      <c r="B83" s="238"/>
      <c r="C83" s="238"/>
      <c r="D83" s="238"/>
      <c r="E83" s="238"/>
      <c r="F83" s="238"/>
      <c r="G83" s="238"/>
      <c r="H83" s="238"/>
      <c r="I83" s="238"/>
      <c r="J83" s="238"/>
      <c r="K83" s="238"/>
      <c r="L83" s="238"/>
      <c r="M83" s="238"/>
      <c r="N83" s="238"/>
      <c r="O83" s="238"/>
      <c r="P83" s="238"/>
      <c r="Q83" s="238"/>
      <c r="R83" s="238"/>
      <c r="S83" s="238"/>
      <c r="T83" s="238"/>
      <c r="U83" s="238"/>
      <c r="V83" s="240"/>
      <c r="W83" s="240"/>
      <c r="X83" s="240"/>
      <c r="Y83" s="240"/>
      <c r="Z83" s="240"/>
      <c r="AA83" s="240"/>
      <c r="AB83" s="240"/>
      <c r="AC83" s="240"/>
      <c r="AD83" s="240"/>
      <c r="AE83" s="240"/>
      <c r="AF83" s="240"/>
      <c r="AG83" s="240"/>
      <c r="AH83" s="240"/>
      <c r="AI83" s="240"/>
      <c r="AJ83" s="240"/>
      <c r="AK83" s="240"/>
      <c r="AL83" s="240"/>
      <c r="AM83" s="240"/>
      <c r="AN83" s="240"/>
      <c r="AO83" s="240"/>
      <c r="AP83" s="240"/>
      <c r="AQ83" s="240"/>
    </row>
    <row r="84" spans="1:43" x14ac:dyDescent="0.2">
      <c r="A84" s="400"/>
      <c r="B84" s="238"/>
      <c r="C84" s="238"/>
      <c r="D84" s="238"/>
      <c r="E84" s="238"/>
      <c r="F84" s="238"/>
      <c r="G84" s="238"/>
      <c r="H84" s="238"/>
      <c r="I84" s="238"/>
      <c r="J84" s="238"/>
      <c r="K84" s="238"/>
      <c r="L84" s="238"/>
      <c r="M84" s="238"/>
      <c r="N84" s="238"/>
      <c r="O84" s="238"/>
      <c r="P84" s="238"/>
      <c r="Q84" s="238"/>
      <c r="R84" s="238"/>
      <c r="S84" s="238"/>
      <c r="T84" s="238"/>
      <c r="U84" s="238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240"/>
      <c r="AH84" s="240"/>
      <c r="AI84" s="240"/>
      <c r="AJ84" s="240"/>
      <c r="AK84" s="240"/>
      <c r="AL84" s="240"/>
      <c r="AM84" s="240"/>
      <c r="AN84" s="240"/>
      <c r="AO84" s="240"/>
      <c r="AP84" s="240"/>
      <c r="AQ84" s="240"/>
    </row>
    <row r="85" spans="1:43" x14ac:dyDescent="0.2">
      <c r="A85" s="400"/>
      <c r="B85" s="238"/>
      <c r="C85" s="238"/>
      <c r="D85" s="238"/>
      <c r="E85" s="238"/>
      <c r="F85" s="238"/>
      <c r="G85" s="238"/>
      <c r="H85" s="238"/>
      <c r="I85" s="238"/>
      <c r="J85" s="238"/>
      <c r="K85" s="238"/>
      <c r="L85" s="238"/>
      <c r="M85" s="238"/>
      <c r="N85" s="238"/>
      <c r="O85" s="238"/>
      <c r="P85" s="238"/>
      <c r="Q85" s="238"/>
      <c r="R85" s="238"/>
      <c r="S85" s="238"/>
      <c r="T85" s="238"/>
      <c r="U85" s="238"/>
      <c r="V85" s="240"/>
      <c r="W85" s="240"/>
      <c r="X85" s="240"/>
      <c r="Y85" s="240"/>
      <c r="Z85" s="240"/>
      <c r="AA85" s="240"/>
      <c r="AB85" s="240"/>
      <c r="AC85" s="240"/>
      <c r="AD85" s="240"/>
      <c r="AE85" s="240"/>
      <c r="AF85" s="240"/>
      <c r="AG85" s="240"/>
      <c r="AH85" s="240"/>
      <c r="AI85" s="240"/>
      <c r="AJ85" s="240"/>
      <c r="AK85" s="240"/>
      <c r="AL85" s="240"/>
      <c r="AM85" s="240"/>
      <c r="AN85" s="240"/>
      <c r="AO85" s="240"/>
      <c r="AP85" s="240"/>
      <c r="AQ85" s="240"/>
    </row>
    <row r="86" spans="1:43" x14ac:dyDescent="0.2">
      <c r="A86" s="400"/>
      <c r="B86" s="238"/>
      <c r="C86" s="238"/>
      <c r="D86" s="238"/>
      <c r="E86" s="238"/>
      <c r="F86" s="238"/>
      <c r="G86" s="238"/>
      <c r="H86" s="238"/>
      <c r="I86" s="238"/>
      <c r="J86" s="238"/>
      <c r="K86" s="238"/>
      <c r="L86" s="238"/>
      <c r="M86" s="238"/>
      <c r="N86" s="238"/>
      <c r="O86" s="238"/>
      <c r="P86" s="238"/>
      <c r="Q86" s="238"/>
      <c r="R86" s="238"/>
      <c r="S86" s="238"/>
      <c r="T86" s="238"/>
      <c r="U86" s="238"/>
      <c r="V86" s="240"/>
      <c r="W86" s="240"/>
      <c r="X86" s="240"/>
      <c r="Y86" s="240"/>
      <c r="Z86" s="240"/>
      <c r="AA86" s="240"/>
      <c r="AB86" s="240"/>
      <c r="AC86" s="240"/>
      <c r="AD86" s="240"/>
      <c r="AE86" s="240"/>
      <c r="AF86" s="240"/>
      <c r="AG86" s="240"/>
      <c r="AH86" s="240"/>
      <c r="AI86" s="240"/>
      <c r="AJ86" s="240"/>
      <c r="AK86" s="240"/>
      <c r="AL86" s="240"/>
      <c r="AM86" s="240"/>
      <c r="AN86" s="240"/>
      <c r="AO86" s="240"/>
      <c r="AP86" s="240"/>
      <c r="AQ86" s="240"/>
    </row>
    <row r="87" spans="1:43" x14ac:dyDescent="0.2">
      <c r="A87" s="400"/>
      <c r="B87" s="238"/>
      <c r="C87" s="238"/>
      <c r="D87" s="238"/>
      <c r="E87" s="238"/>
      <c r="F87" s="238"/>
      <c r="G87" s="238"/>
      <c r="H87" s="238"/>
      <c r="I87" s="238"/>
      <c r="J87" s="238"/>
      <c r="K87" s="238"/>
      <c r="L87" s="238"/>
      <c r="M87" s="238"/>
      <c r="N87" s="238"/>
      <c r="O87" s="238"/>
      <c r="P87" s="238"/>
      <c r="Q87" s="238"/>
      <c r="R87" s="238"/>
      <c r="S87" s="238"/>
      <c r="T87" s="238"/>
      <c r="U87" s="238"/>
      <c r="V87" s="240"/>
      <c r="W87" s="240"/>
      <c r="X87" s="240"/>
      <c r="Y87" s="240"/>
      <c r="Z87" s="240"/>
      <c r="AA87" s="240"/>
      <c r="AB87" s="240"/>
      <c r="AC87" s="240"/>
      <c r="AD87" s="240"/>
      <c r="AE87" s="240"/>
      <c r="AF87" s="240"/>
      <c r="AG87" s="240"/>
      <c r="AH87" s="240"/>
      <c r="AI87" s="240"/>
      <c r="AJ87" s="240"/>
      <c r="AK87" s="240"/>
      <c r="AL87" s="240"/>
      <c r="AM87" s="240"/>
      <c r="AN87" s="240"/>
      <c r="AO87" s="240"/>
      <c r="AP87" s="240"/>
      <c r="AQ87" s="240"/>
    </row>
    <row r="88" spans="1:43" x14ac:dyDescent="0.2">
      <c r="A88" s="400"/>
      <c r="B88" s="238"/>
      <c r="C88" s="238"/>
      <c r="D88" s="238"/>
      <c r="E88" s="238"/>
      <c r="F88" s="238"/>
      <c r="G88" s="238"/>
      <c r="H88" s="238"/>
      <c r="I88" s="238"/>
      <c r="J88" s="238"/>
      <c r="K88" s="238"/>
      <c r="L88" s="238"/>
      <c r="M88" s="238"/>
      <c r="N88" s="238"/>
      <c r="O88" s="238"/>
      <c r="P88" s="238"/>
      <c r="Q88" s="238"/>
      <c r="R88" s="238"/>
      <c r="S88" s="238"/>
      <c r="T88" s="238"/>
      <c r="U88" s="238"/>
      <c r="V88" s="240"/>
      <c r="W88" s="240"/>
      <c r="X88" s="240"/>
      <c r="Y88" s="240"/>
      <c r="Z88" s="240"/>
      <c r="AA88" s="240"/>
      <c r="AB88" s="240"/>
      <c r="AC88" s="240"/>
      <c r="AD88" s="240"/>
      <c r="AE88" s="240"/>
      <c r="AF88" s="240"/>
      <c r="AG88" s="240"/>
      <c r="AH88" s="240"/>
      <c r="AI88" s="240"/>
      <c r="AJ88" s="240"/>
      <c r="AK88" s="240"/>
      <c r="AL88" s="240"/>
      <c r="AM88" s="240"/>
      <c r="AN88" s="240"/>
      <c r="AO88" s="240"/>
      <c r="AP88" s="240"/>
      <c r="AQ88" s="240"/>
    </row>
    <row r="89" spans="1:43" x14ac:dyDescent="0.2">
      <c r="A89" s="400"/>
      <c r="B89" s="238"/>
      <c r="C89" s="238"/>
      <c r="D89" s="238"/>
      <c r="E89" s="238"/>
      <c r="F89" s="238"/>
      <c r="G89" s="238"/>
      <c r="H89" s="238"/>
      <c r="I89" s="238"/>
      <c r="J89" s="238"/>
      <c r="K89" s="238"/>
      <c r="L89" s="238"/>
      <c r="M89" s="238"/>
      <c r="N89" s="238"/>
      <c r="O89" s="238"/>
      <c r="P89" s="238"/>
      <c r="Q89" s="238"/>
      <c r="R89" s="238"/>
      <c r="S89" s="238"/>
      <c r="T89" s="238"/>
      <c r="U89" s="238"/>
      <c r="V89" s="240"/>
      <c r="W89" s="240"/>
      <c r="X89" s="240"/>
      <c r="Y89" s="240"/>
      <c r="Z89" s="240"/>
      <c r="AA89" s="240"/>
      <c r="AB89" s="240"/>
      <c r="AC89" s="240"/>
      <c r="AD89" s="240"/>
      <c r="AE89" s="240"/>
      <c r="AF89" s="240"/>
      <c r="AG89" s="240"/>
      <c r="AH89" s="240"/>
      <c r="AI89" s="240"/>
      <c r="AJ89" s="240"/>
      <c r="AK89" s="240"/>
      <c r="AL89" s="240"/>
      <c r="AM89" s="240"/>
      <c r="AN89" s="240"/>
      <c r="AO89" s="240"/>
      <c r="AP89" s="240"/>
      <c r="AQ89" s="240"/>
    </row>
    <row r="90" spans="1:43" x14ac:dyDescent="0.2">
      <c r="A90" s="400"/>
      <c r="B90" s="238"/>
      <c r="C90" s="238"/>
      <c r="D90" s="238"/>
      <c r="E90" s="238"/>
      <c r="F90" s="238"/>
      <c r="G90" s="238"/>
      <c r="H90" s="238"/>
      <c r="I90" s="238"/>
      <c r="J90" s="238"/>
      <c r="K90" s="238"/>
      <c r="L90" s="238"/>
      <c r="M90" s="238"/>
      <c r="N90" s="238"/>
      <c r="O90" s="238"/>
      <c r="P90" s="238"/>
      <c r="Q90" s="238"/>
      <c r="R90" s="238"/>
      <c r="S90" s="238"/>
      <c r="T90" s="238"/>
      <c r="U90" s="238"/>
      <c r="V90" s="240"/>
      <c r="W90" s="240"/>
      <c r="X90" s="240"/>
      <c r="Y90" s="240"/>
      <c r="Z90" s="240"/>
      <c r="AA90" s="240"/>
      <c r="AB90" s="240"/>
      <c r="AC90" s="240"/>
      <c r="AD90" s="240"/>
      <c r="AE90" s="240"/>
      <c r="AF90" s="240"/>
      <c r="AG90" s="240"/>
      <c r="AH90" s="240"/>
      <c r="AI90" s="240"/>
      <c r="AJ90" s="240"/>
      <c r="AK90" s="240"/>
      <c r="AL90" s="240"/>
      <c r="AM90" s="240"/>
      <c r="AN90" s="240"/>
      <c r="AO90" s="240"/>
      <c r="AP90" s="240"/>
      <c r="AQ90" s="240"/>
    </row>
    <row r="91" spans="1:43" x14ac:dyDescent="0.2">
      <c r="A91" s="400"/>
      <c r="B91" s="238"/>
      <c r="C91" s="238"/>
      <c r="D91" s="238"/>
      <c r="E91" s="238"/>
      <c r="F91" s="238"/>
      <c r="G91" s="238"/>
      <c r="H91" s="238"/>
      <c r="I91" s="238"/>
      <c r="J91" s="238"/>
      <c r="K91" s="238"/>
      <c r="L91" s="238"/>
      <c r="M91" s="238"/>
      <c r="N91" s="238"/>
      <c r="O91" s="238"/>
      <c r="P91" s="238"/>
      <c r="Q91" s="238"/>
      <c r="R91" s="238"/>
      <c r="S91" s="238"/>
      <c r="T91" s="238"/>
      <c r="U91" s="238"/>
      <c r="V91" s="240"/>
      <c r="W91" s="240"/>
      <c r="X91" s="240"/>
      <c r="Y91" s="240"/>
      <c r="Z91" s="240"/>
      <c r="AA91" s="240"/>
      <c r="AB91" s="240"/>
      <c r="AC91" s="240"/>
      <c r="AD91" s="240"/>
      <c r="AE91" s="240"/>
      <c r="AF91" s="240"/>
      <c r="AG91" s="240"/>
      <c r="AH91" s="240"/>
      <c r="AI91" s="240"/>
      <c r="AJ91" s="240"/>
      <c r="AK91" s="240"/>
      <c r="AL91" s="240"/>
      <c r="AM91" s="240"/>
      <c r="AN91" s="240"/>
      <c r="AO91" s="240"/>
      <c r="AP91" s="240"/>
      <c r="AQ91" s="240"/>
    </row>
  </sheetData>
  <mergeCells count="5">
    <mergeCell ref="A68:A91"/>
    <mergeCell ref="B30:D31"/>
    <mergeCell ref="H30:J31"/>
    <mergeCell ref="N30:P31"/>
    <mergeCell ref="T30:V31"/>
  </mergeCells>
  <pageMargins left="0.7" right="0.7" top="0.75" bottom="0.75" header="0.3" footer="0.3"/>
  <pageSetup paperSize="9" scale="48" orientation="portrait" r:id="rId1"/>
  <drawing r:id="rId2"/>
  <legacyDrawing r:id="rId3"/>
  <controls>
    <mc:AlternateContent xmlns:mc="http://schemas.openxmlformats.org/markup-compatibility/2006">
      <mc:Choice Requires="x14">
        <control shapeId="3089" r:id="rId4" name="SpinButton1">
          <controlPr defaultSize="0" autoLine="0" linkedCell="B30" r:id="rId5">
            <anchor moveWithCells="1">
              <from>
                <xdr:col>4</xdr:col>
                <xdr:colOff>123825</xdr:colOff>
                <xdr:row>28</xdr:row>
                <xdr:rowOff>57150</xdr:rowOff>
              </from>
              <to>
                <xdr:col>5</xdr:col>
                <xdr:colOff>0</xdr:colOff>
                <xdr:row>30</xdr:row>
                <xdr:rowOff>104775</xdr:rowOff>
              </to>
            </anchor>
          </controlPr>
        </control>
      </mc:Choice>
      <mc:Fallback>
        <control shapeId="3089" r:id="rId4" name="SpinButton1"/>
      </mc:Fallback>
    </mc:AlternateContent>
    <mc:AlternateContent xmlns:mc="http://schemas.openxmlformats.org/markup-compatibility/2006">
      <mc:Choice Requires="x14">
        <control shapeId="3090" r:id="rId6" name="SpinButton2">
          <controlPr defaultSize="0" autoLine="0" linkedCell="H30" r:id="rId5">
            <anchor moveWithCells="1">
              <from>
                <xdr:col>10</xdr:col>
                <xdr:colOff>123825</xdr:colOff>
                <xdr:row>28</xdr:row>
                <xdr:rowOff>66675</xdr:rowOff>
              </from>
              <to>
                <xdr:col>11</xdr:col>
                <xdr:colOff>0</xdr:colOff>
                <xdr:row>30</xdr:row>
                <xdr:rowOff>114300</xdr:rowOff>
              </to>
            </anchor>
          </controlPr>
        </control>
      </mc:Choice>
      <mc:Fallback>
        <control shapeId="3090" r:id="rId6" name="SpinButton2"/>
      </mc:Fallback>
    </mc:AlternateContent>
    <mc:AlternateContent xmlns:mc="http://schemas.openxmlformats.org/markup-compatibility/2006">
      <mc:Choice Requires="x14">
        <control shapeId="3091" r:id="rId7" name="SpinButton3">
          <controlPr defaultSize="0" autoLine="0" linkedCell="N30" r:id="rId5">
            <anchor moveWithCells="1">
              <from>
                <xdr:col>16</xdr:col>
                <xdr:colOff>123825</xdr:colOff>
                <xdr:row>28</xdr:row>
                <xdr:rowOff>57150</xdr:rowOff>
              </from>
              <to>
                <xdr:col>17</xdr:col>
                <xdr:colOff>0</xdr:colOff>
                <xdr:row>30</xdr:row>
                <xdr:rowOff>104775</xdr:rowOff>
              </to>
            </anchor>
          </controlPr>
        </control>
      </mc:Choice>
      <mc:Fallback>
        <control shapeId="3091" r:id="rId7" name="SpinButton3"/>
      </mc:Fallback>
    </mc:AlternateContent>
    <mc:AlternateContent xmlns:mc="http://schemas.openxmlformats.org/markup-compatibility/2006">
      <mc:Choice Requires="x14">
        <control shapeId="3092" r:id="rId8" name="SpinButton4">
          <controlPr defaultSize="0" autoLine="0" linkedCell="T30" r:id="rId5">
            <anchor moveWithCells="1">
              <from>
                <xdr:col>22</xdr:col>
                <xdr:colOff>142875</xdr:colOff>
                <xdr:row>28</xdr:row>
                <xdr:rowOff>47625</xdr:rowOff>
              </from>
              <to>
                <xdr:col>23</xdr:col>
                <xdr:colOff>19050</xdr:colOff>
                <xdr:row>30</xdr:row>
                <xdr:rowOff>95250</xdr:rowOff>
              </to>
            </anchor>
          </controlPr>
        </control>
      </mc:Choice>
      <mc:Fallback>
        <control shapeId="3092" r:id="rId8" name="SpinButton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1:X33"/>
  <sheetViews>
    <sheetView workbookViewId="0">
      <selection activeCell="A2" sqref="A2:B33"/>
    </sheetView>
  </sheetViews>
  <sheetFormatPr defaultRowHeight="15" x14ac:dyDescent="0.25"/>
  <cols>
    <col min="1" max="1" width="19.7109375" style="316" customWidth="1"/>
    <col min="2" max="2" width="14.7109375" customWidth="1"/>
    <col min="6" max="6" width="10.42578125" style="307" bestFit="1" customWidth="1"/>
    <col min="7" max="8" width="10.42578125" bestFit="1" customWidth="1"/>
    <col min="10" max="10" width="10.42578125" bestFit="1" customWidth="1"/>
    <col min="12" max="12" width="10.42578125" bestFit="1" customWidth="1"/>
    <col min="18" max="18" width="10.42578125" bestFit="1" customWidth="1"/>
  </cols>
  <sheetData>
    <row r="1" spans="1:24" x14ac:dyDescent="0.25">
      <c r="A1" s="317" t="s">
        <v>22</v>
      </c>
      <c r="B1" s="318" t="s">
        <v>21</v>
      </c>
    </row>
    <row r="2" spans="1:24" x14ac:dyDescent="0.25">
      <c r="B2" s="307"/>
      <c r="C2" s="307"/>
      <c r="D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307"/>
    </row>
    <row r="3" spans="1:24" x14ac:dyDescent="0.25">
      <c r="B3" s="307"/>
    </row>
    <row r="4" spans="1:24" x14ac:dyDescent="0.25">
      <c r="B4" s="307"/>
    </row>
    <row r="5" spans="1:24" x14ac:dyDescent="0.25">
      <c r="B5" s="307"/>
      <c r="G5" s="307"/>
      <c r="H5" s="307"/>
      <c r="J5" s="307"/>
      <c r="L5" s="307"/>
    </row>
    <row r="6" spans="1:24" x14ac:dyDescent="0.25">
      <c r="B6" s="307"/>
    </row>
    <row r="7" spans="1:24" x14ac:dyDescent="0.25">
      <c r="B7" s="307"/>
    </row>
    <row r="8" spans="1:24" x14ac:dyDescent="0.25">
      <c r="B8" s="307"/>
    </row>
    <row r="9" spans="1:24" x14ac:dyDescent="0.25">
      <c r="B9" s="307"/>
    </row>
    <row r="10" spans="1:24" x14ac:dyDescent="0.25">
      <c r="B10" s="307"/>
    </row>
    <row r="11" spans="1:24" x14ac:dyDescent="0.25">
      <c r="B11" s="307"/>
    </row>
    <row r="12" spans="1:24" x14ac:dyDescent="0.25">
      <c r="B12" s="307"/>
    </row>
    <row r="13" spans="1:24" x14ac:dyDescent="0.25">
      <c r="B13" s="307"/>
    </row>
    <row r="14" spans="1:24" x14ac:dyDescent="0.25">
      <c r="B14" s="307"/>
    </row>
    <row r="15" spans="1:24" x14ac:dyDescent="0.25">
      <c r="B15" s="307"/>
    </row>
    <row r="16" spans="1:24" x14ac:dyDescent="0.25">
      <c r="B16" s="307"/>
    </row>
    <row r="17" spans="2:2" x14ac:dyDescent="0.25">
      <c r="B17" s="307"/>
    </row>
    <row r="18" spans="2:2" x14ac:dyDescent="0.25">
      <c r="B18" s="307"/>
    </row>
    <row r="19" spans="2:2" x14ac:dyDescent="0.25">
      <c r="B19" s="307"/>
    </row>
    <row r="20" spans="2:2" x14ac:dyDescent="0.25">
      <c r="B20" s="307"/>
    </row>
    <row r="21" spans="2:2" x14ac:dyDescent="0.25">
      <c r="B21" s="307"/>
    </row>
    <row r="22" spans="2:2" x14ac:dyDescent="0.25">
      <c r="B22" s="307"/>
    </row>
    <row r="23" spans="2:2" x14ac:dyDescent="0.25">
      <c r="B23" s="307"/>
    </row>
    <row r="24" spans="2:2" x14ac:dyDescent="0.25">
      <c r="B24" s="307"/>
    </row>
    <row r="25" spans="2:2" x14ac:dyDescent="0.25">
      <c r="B25" s="307"/>
    </row>
    <row r="26" spans="2:2" x14ac:dyDescent="0.25">
      <c r="B26" s="307"/>
    </row>
    <row r="27" spans="2:2" x14ac:dyDescent="0.25">
      <c r="B27" s="307"/>
    </row>
    <row r="28" spans="2:2" x14ac:dyDescent="0.25">
      <c r="B28" s="307"/>
    </row>
    <row r="29" spans="2:2" x14ac:dyDescent="0.25">
      <c r="B29" s="307"/>
    </row>
    <row r="30" spans="2:2" x14ac:dyDescent="0.25">
      <c r="B30" s="307"/>
    </row>
    <row r="31" spans="2:2" x14ac:dyDescent="0.25">
      <c r="B31" s="307"/>
    </row>
    <row r="32" spans="2:2" x14ac:dyDescent="0.25">
      <c r="B32" s="307"/>
    </row>
    <row r="33" spans="2:2" x14ac:dyDescent="0.25">
      <c r="B33" s="307"/>
    </row>
  </sheetData>
  <sortState ref="A2:B33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1</vt:i4>
      </vt:variant>
    </vt:vector>
  </HeadingPairs>
  <TitlesOfParts>
    <vt:vector size="6" baseType="lpstr">
      <vt:lpstr>Analiza - 1</vt:lpstr>
      <vt:lpstr>Wykresy - 2</vt:lpstr>
      <vt:lpstr>Transponuj i wykres -6 </vt:lpstr>
      <vt:lpstr>Delta 2 dni - 9</vt:lpstr>
      <vt:lpstr>podobne</vt:lpstr>
      <vt:lpstr>'Delta 2 dni - 9'!Obszar_wydruku</vt:lpstr>
    </vt:vector>
  </TitlesOfParts>
  <Company>TAURON Polska Energia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Machał Paweł</dc:creator>
  <cp:lastModifiedBy>Machał Paweł</cp:lastModifiedBy>
  <dcterms:created xsi:type="dcterms:W3CDTF">2017-01-13T07:12:21Z</dcterms:created>
  <dcterms:modified xsi:type="dcterms:W3CDTF">2017-03-17T13:55:33Z</dcterms:modified>
</cp:coreProperties>
</file>